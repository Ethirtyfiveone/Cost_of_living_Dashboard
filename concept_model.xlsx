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7a0d8ee44d6a14/Documents/github_prep/third_project/"/>
    </mc:Choice>
  </mc:AlternateContent>
  <xr:revisionPtr revIDLastSave="140" documentId="8_{C2903716-F999-43F6-BD5C-1811422DC57A}" xr6:coauthVersionLast="47" xr6:coauthVersionMax="47" xr10:uidLastSave="{3FF18390-30CF-4880-96A2-E071F23738D7}"/>
  <bookViews>
    <workbookView xWindow="-96" yWindow="-96" windowWidth="23232" windowHeight="12432" xr2:uid="{B25132D1-5095-4890-AB94-DC4CC74644C3}"/>
  </bookViews>
  <sheets>
    <sheet name="Intro" sheetId="5" r:id="rId1"/>
    <sheet name="prepdash" sheetId="1" r:id="rId2"/>
    <sheet name="lists" sheetId="2" r:id="rId3"/>
    <sheet name="state_av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6" i="1"/>
  <c r="I5" i="1"/>
  <c r="I4" i="1"/>
  <c r="I3" i="1"/>
  <c r="E6" i="1"/>
  <c r="E5" i="1"/>
  <c r="E4" i="1"/>
  <c r="E3" i="1"/>
  <c r="D6" i="1"/>
  <c r="D5" i="1"/>
  <c r="D4" i="1"/>
  <c r="D3" i="1"/>
  <c r="B21" i="1"/>
  <c r="B32" i="1" l="1"/>
  <c r="B25" i="1"/>
  <c r="G3" i="1" l="1"/>
  <c r="J3" i="1" s="1"/>
  <c r="F3" i="1"/>
  <c r="C3" i="1"/>
  <c r="B4" i="1" a="1"/>
  <c r="B4" i="1" s="1"/>
  <c r="G6" i="1" l="1"/>
  <c r="J5" i="1"/>
  <c r="J6" i="1"/>
  <c r="G5" i="1"/>
  <c r="G4" i="1"/>
  <c r="E7" i="1" l="1"/>
  <c r="G7" i="1"/>
  <c r="F6" i="1"/>
  <c r="F4" i="1"/>
  <c r="F5" i="1"/>
  <c r="C4" i="1"/>
  <c r="C5" i="1"/>
  <c r="C6" i="1"/>
  <c r="C7" i="1" l="1"/>
  <c r="F7" i="1"/>
  <c r="D7" i="1"/>
  <c r="J4" i="1"/>
  <c r="J7" i="1" s="1"/>
  <c r="I7" i="1"/>
  <c r="L4" i="1" l="1"/>
  <c r="L7" i="1" s="1"/>
  <c r="B35" i="1" s="1"/>
  <c r="L5" i="1"/>
  <c r="H5" i="1"/>
  <c r="H4" i="1"/>
  <c r="H7" i="1" s="1"/>
  <c r="H6" i="1"/>
  <c r="L6" i="1"/>
  <c r="L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<sst xmlns="http://schemas.openxmlformats.org/spreadsheetml/2006/main" count="197" uniqueCount="126">
  <si>
    <t>Gross Annual</t>
  </si>
  <si>
    <t>Gross Hourly</t>
  </si>
  <si>
    <t>Net Annual</t>
  </si>
  <si>
    <t>Net Hourly</t>
  </si>
  <si>
    <t>50/30/20</t>
  </si>
  <si>
    <t>60/25/15</t>
  </si>
  <si>
    <t>70/20/10</t>
  </si>
  <si>
    <t>80/15/5</t>
  </si>
  <si>
    <t>Gross Monthly</t>
  </si>
  <si>
    <t>Net Monthly</t>
  </si>
  <si>
    <t>Net Payday</t>
  </si>
  <si>
    <t>Gross Payday</t>
  </si>
  <si>
    <t>Choose Gross</t>
  </si>
  <si>
    <t>Gross</t>
  </si>
  <si>
    <t>wh</t>
  </si>
  <si>
    <t>Choose Spread</t>
  </si>
  <si>
    <t>spead</t>
  </si>
  <si>
    <t>wants</t>
  </si>
  <si>
    <t>needs</t>
  </si>
  <si>
    <t>savings</t>
  </si>
  <si>
    <t>autopmnt</t>
  </si>
  <si>
    <t>base</t>
  </si>
  <si>
    <t>Spread Name</t>
  </si>
  <si>
    <t>Spread %</t>
  </si>
  <si>
    <t>Mo.Remaining Needs for Utils/Groc</t>
  </si>
  <si>
    <t>Budget</t>
  </si>
  <si>
    <t>Mo.Rent/Auto Pymnt</t>
  </si>
  <si>
    <t>Groceries</t>
  </si>
  <si>
    <t>Utilities</t>
  </si>
  <si>
    <t>groceries</t>
  </si>
  <si>
    <t>utilities</t>
  </si>
  <si>
    <t>Auto Loan/Ins/Gas</t>
  </si>
  <si>
    <t>Needs</t>
  </si>
  <si>
    <t>Expense</t>
  </si>
  <si>
    <t>Wants</t>
  </si>
  <si>
    <t>Credit Cards</t>
  </si>
  <si>
    <t>Dining/Going Out</t>
  </si>
  <si>
    <t>Memberships/Subscriptions</t>
  </si>
  <si>
    <t>Personal</t>
  </si>
  <si>
    <t>Total</t>
  </si>
  <si>
    <t>Choose Withholding</t>
  </si>
  <si>
    <t>Savings</t>
  </si>
  <si>
    <t>After Expenses+savings</t>
  </si>
  <si>
    <t>Net Saved</t>
  </si>
  <si>
    <t>State</t>
  </si>
  <si>
    <t>Avg 1BR Rent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</si>
  <si>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</si>
  <si>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</si>
  <si>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</si>
  <si>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</si>
  <si>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</si>
  <si>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</si>
  <si>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</si>
  <si>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</si>
  <si>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</si>
  <si>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</si>
  <si>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</si>
  <si>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</si>
  <si>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</si>
  <si>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</si>
  <si>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</si>
  <si>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</si>
  <si>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</si>
  <si>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</si>
  <si>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</si>
  <si>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</si>
  <si>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</si>
  <si>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</si>
  <si>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</si>
  <si>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</si>
  <si>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</si>
  <si>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</si>
  <si>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</si>
  <si>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</si>
  <si>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</si>
  <si>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</si>
  <si>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</si>
  <si>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</si>
  <si>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</si>
  <si>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</si>
  <si>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</si>
  <si>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</si>
  <si>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</si>
  <si>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</si>
  <si>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</si>
  <si>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</si>
  <si>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Dakota</t>
  </si>
  <si>
    <t>South Carolina</t>
  </si>
  <si>
    <t>Tennessee</t>
  </si>
  <si>
    <t>Texas</t>
  </si>
  <si>
    <t>Utah</t>
  </si>
  <si>
    <t>Vermont</t>
  </si>
  <si>
    <t>Virginia</t>
  </si>
  <si>
    <t>Washington</t>
  </si>
  <si>
    <t>Wisconsin</t>
  </si>
  <si>
    <t>Wyoming</t>
  </si>
  <si>
    <t>from</t>
  </si>
  <si>
    <t>Average rent for a one-bedroom apartment across the US by state - unbiased.com</t>
  </si>
  <si>
    <t>updated</t>
  </si>
  <si>
    <t>West Virginia</t>
  </si>
  <si>
    <t>WV not on the list</t>
  </si>
  <si>
    <t>data pulled provided by copilot which got it from Apartments.com who base it on CoStar's Professionally managed property dataset</t>
  </si>
  <si>
    <t>Choose Location or Default option</t>
  </si>
  <si>
    <t>Defualt_800</t>
  </si>
  <si>
    <t>Defualt_850</t>
  </si>
  <si>
    <t>Defualt_900</t>
  </si>
  <si>
    <t>Defualt_950</t>
  </si>
  <si>
    <t>Defualt_1000</t>
  </si>
  <si>
    <t>Defualt_1050</t>
  </si>
  <si>
    <t>Defualt_1100</t>
  </si>
  <si>
    <t>Defualt_1150</t>
  </si>
  <si>
    <t>Defualt_1200</t>
  </si>
  <si>
    <t>Defualt_1250</t>
  </si>
  <si>
    <t>Defualt_1300</t>
  </si>
  <si>
    <t>Defualt_1350</t>
  </si>
  <si>
    <t>Defualt_1400</t>
  </si>
  <si>
    <t>Defualt_1450</t>
  </si>
  <si>
    <t>Defualt_1500</t>
  </si>
  <si>
    <t>Top section is a reference table that has NO INPUTS. It is all calculated fields. Inputs are below seperation:</t>
  </si>
  <si>
    <t>All inputs</t>
  </si>
  <si>
    <t>are to the Left</t>
  </si>
  <si>
    <t>As Drop Down Lists</t>
  </si>
  <si>
    <t>&lt;</t>
  </si>
  <si>
    <t>Cost of Living with State Average One Bedroom Apartments</t>
  </si>
  <si>
    <t>This was the proof of concept dashboard that help guide</t>
  </si>
  <si>
    <t>the Tableau project. Working dashboard but unpolished.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</si>
</sst>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.00"/>
    <numFmt numFmtId="165" formatCode="&quot;$&quot;#,##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rgb="FFC0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3" borderId="1" xfId="0" applyFont="1" applyFill="1" applyBorder="1"/>
    <xf numFmtId="0" fontId="0" fillId="3" borderId="1" xfId="0" applyFill="1" applyBorder="1" applyAlignment="1">
      <alignment horizontal="right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1" fillId="4" borderId="7" xfId="0" applyFont="1" applyFill="1" applyBorder="1"/>
    <xf numFmtId="0" fontId="1" fillId="5" borderId="7" xfId="0" applyFont="1" applyFill="1" applyBorder="1"/>
    <xf numFmtId="6" fontId="0" fillId="0" borderId="0" xfId="0" applyNumberFormat="1"/>
    <xf numFmtId="0" fontId="0" fillId="0" borderId="0" xfId="0" applyAlignment="1">
      <alignment horizontal="left"/>
    </xf>
    <xf numFmtId="6" fontId="0" fillId="0" borderId="0" xfId="0" applyNumberFormat="1" applyAlignment="1">
      <alignment horizontal="left"/>
    </xf>
    <xf numFmtId="0" fontId="2" fillId="0" borderId="0" xfId="1"/>
    <xf numFmtId="14" fontId="0" fillId="0" borderId="0" xfId="0" applyNumberFormat="1"/>
    <xf numFmtId="17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5" borderId="5" xfId="0" applyNumberFormat="1" applyFill="1" applyBorder="1"/>
    <xf numFmtId="165" fontId="0" fillId="5" borderId="6" xfId="0" applyNumberFormat="1" applyFill="1" applyBorder="1"/>
    <xf numFmtId="165" fontId="0" fillId="4" borderId="5" xfId="0" applyNumberFormat="1" applyFill="1" applyBorder="1"/>
    <xf numFmtId="165" fontId="0" fillId="4" borderId="6" xfId="0" applyNumberFormat="1" applyFill="1" applyBorder="1"/>
    <xf numFmtId="0" fontId="0" fillId="0" borderId="8" xfId="0" applyBorder="1"/>
    <xf numFmtId="0" fontId="1" fillId="0" borderId="9" xfId="0" applyFont="1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65" fontId="0" fillId="0" borderId="8" xfId="0" applyNumberFormat="1" applyBorder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8" fillId="2" borderId="14" xfId="0" applyFont="1" applyFill="1" applyBorder="1"/>
    <xf numFmtId="0" fontId="4" fillId="2" borderId="15" xfId="0" applyFont="1" applyFill="1" applyBorder="1"/>
    <xf numFmtId="0" fontId="4" fillId="2" borderId="16" xfId="0" applyFont="1" applyFill="1" applyBorder="1"/>
    <xf numFmtId="0" fontId="4" fillId="2" borderId="17" xfId="0" applyFont="1" applyFill="1" applyBorder="1"/>
    <xf numFmtId="0" fontId="4" fillId="2" borderId="0" xfId="0" applyFont="1" applyFill="1" applyBorder="1"/>
    <xf numFmtId="0" fontId="4" fillId="2" borderId="18" xfId="0" applyFont="1" applyFill="1" applyBorder="1"/>
    <xf numFmtId="0" fontId="7" fillId="3" borderId="17" xfId="0" applyFont="1" applyFill="1" applyBorder="1"/>
    <xf numFmtId="0" fontId="0" fillId="3" borderId="0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</cellXfs>
  <cellStyles count="2">
    <cellStyle name="Hyperlink" xfId="1" builtinId="8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Breakdown</a:t>
            </a:r>
            <a:r>
              <a:rPr lang="en-US" baseline="0"/>
              <a:t> of Income Gross/Net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prepdash!$C$2:$J$2</c:f>
              <c:strCache>
                <c:ptCount val="8"/>
                <c:pt idx="0">
                  <c:v>Gross Annual</c:v>
                </c:pt>
                <c:pt idx="1">
                  <c:v>Gross Monthly</c:v>
                </c:pt>
                <c:pt idx="2">
                  <c:v>Gross Payday</c:v>
                </c:pt>
                <c:pt idx="3">
                  <c:v>Gross Hourly</c:v>
                </c:pt>
                <c:pt idx="4">
                  <c:v>Net Annual</c:v>
                </c:pt>
                <c:pt idx="5">
                  <c:v>Net Monthly</c:v>
                </c:pt>
                <c:pt idx="6">
                  <c:v>Net Payday</c:v>
                </c:pt>
                <c:pt idx="7">
                  <c:v>Net Hourly</c:v>
                </c:pt>
              </c:strCache>
            </c:strRef>
          </c:cat>
          <c:val>
            <c:numRef>
              <c:f>prepdash!$C$3:$J$3</c:f>
              <c:numCache>
                <c:formatCode>"$"#,##0</c:formatCode>
                <c:ptCount val="8"/>
                <c:pt idx="0">
                  <c:v>51500</c:v>
                </c:pt>
                <c:pt idx="1">
                  <c:v>3962</c:v>
                </c:pt>
                <c:pt idx="2">
                  <c:v>1981</c:v>
                </c:pt>
                <c:pt idx="3" formatCode="&quot;$&quot;#,##0.00">
                  <c:v>24.76</c:v>
                </c:pt>
                <c:pt idx="4">
                  <c:v>39140</c:v>
                </c:pt>
                <c:pt idx="5">
                  <c:v>3011</c:v>
                </c:pt>
                <c:pt idx="6">
                  <c:v>1505</c:v>
                </c:pt>
                <c:pt idx="7" formatCode="&quot;$&quot;#,##0.00">
                  <c:v>18.82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A-4DB0-98DE-EBA5DE4840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10"/>
        <c:axId val="1089947360"/>
        <c:axId val="1089937280"/>
      </c:barChart>
      <c:catAx>
        <c:axId val="108994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937280"/>
        <c:crosses val="autoZero"/>
        <c:auto val="1"/>
        <c:lblAlgn val="ctr"/>
        <c:lblOffset val="100"/>
        <c:noMultiLvlLbl val="0"/>
      </c:catAx>
      <c:valAx>
        <c:axId val="10899372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crossAx val="108994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 algn="ctr">
        <a:defRPr lang="en-US" sz="9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Spread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A2-4E34-8BE3-B7E75FE9F3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00B-409C-AE1E-BDCC59FE75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0B-409C-AE1E-BDCC59FE7525}"/>
              </c:ext>
            </c:extLst>
          </c:dPt>
          <c:dLbls>
            <c:dLbl>
              <c:idx val="1"/>
              <c:layout>
                <c:manualLayout>
                  <c:x val="0.11402274715660543"/>
                  <c:y val="4.663349372995042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0B-409C-AE1E-BDCC59FE7525}"/>
                </c:ext>
              </c:extLst>
            </c:dLbl>
            <c:dLbl>
              <c:idx val="2"/>
              <c:layout>
                <c:manualLayout>
                  <c:x val="6.8843175853018371E-2"/>
                  <c:y val="0.122528798483522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0B-409C-AE1E-BDCC59FE752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prepdash!$A$4:$A$6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prepdash!$D$4:$D$6</c:f>
              <c:numCache>
                <c:formatCode>"$"#,##0</c:formatCode>
                <c:ptCount val="3"/>
                <c:pt idx="0">
                  <c:v>2773</c:v>
                </c:pt>
                <c:pt idx="1">
                  <c:v>792</c:v>
                </c:pt>
                <c:pt idx="2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B-409C-AE1E-BDCC59FE752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Spread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B40-4101-A3CC-0F4DCB5D17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E0-4C15-893D-1E7E44285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9E0-4C15-893D-1E7E44285EC3}"/>
              </c:ext>
            </c:extLst>
          </c:dPt>
          <c:dLbls>
            <c:dLbl>
              <c:idx val="1"/>
              <c:layout>
                <c:manualLayout>
                  <c:x val="0.11124518810148731"/>
                  <c:y val="4.66316710411197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E0-4C15-893D-1E7E44285EC3}"/>
                </c:ext>
              </c:extLst>
            </c:dLbl>
            <c:dLbl>
              <c:idx val="2"/>
              <c:layout>
                <c:manualLayout>
                  <c:x val="6.3289370078740151E-2"/>
                  <c:y val="0.1178988043161271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E0-4C15-893D-1E7E44285EC3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prepdash!$A$4:$A$6</c:f>
              <c:strCache>
                <c:ptCount val="3"/>
                <c:pt idx="0">
                  <c:v>needs</c:v>
                </c:pt>
                <c:pt idx="1">
                  <c:v>wants</c:v>
                </c:pt>
                <c:pt idx="2">
                  <c:v>savings</c:v>
                </c:pt>
              </c:strCache>
            </c:strRef>
          </c:cat>
          <c:val>
            <c:numRef>
              <c:f>prepdash!$H$4:$H$6</c:f>
              <c:numCache>
                <c:formatCode>"$"#,##0</c:formatCode>
                <c:ptCount val="3"/>
                <c:pt idx="0">
                  <c:v>2108</c:v>
                </c:pt>
                <c:pt idx="1">
                  <c:v>602</c:v>
                </c:pt>
                <c:pt idx="2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0-4C15-893D-1E7E44285E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Needs</a:t>
            </a:r>
          </a:p>
          <a:p>
            <a:pPr>
              <a:defRPr/>
            </a:pPr>
            <a:r>
              <a:rPr lang="en-US"/>
              <a:t>Budget</a:t>
            </a:r>
            <a:r>
              <a:rPr lang="en-US" baseline="0"/>
              <a:t> / Remainder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prepdash!$A$20</c:f>
              <c:strCache>
                <c:ptCount val="1"/>
                <c:pt idx="0">
                  <c:v>Needs</c:v>
                </c:pt>
              </c:strCache>
            </c:strRef>
          </c:cat>
          <c:val>
            <c:numRef>
              <c:f>prepdash!$L$4</c:f>
              <c:numCache>
                <c:formatCode>"$"#,##0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77-46F1-B825-70ACC8BB1844}"/>
            </c:ext>
          </c:extLst>
        </c:ser>
        <c:ser>
          <c:idx val="0"/>
          <c:order val="1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prepdash!$A$20</c:f>
              <c:strCache>
                <c:ptCount val="1"/>
                <c:pt idx="0">
                  <c:v>Needs</c:v>
                </c:pt>
              </c:strCache>
            </c:strRef>
          </c:cat>
          <c:val>
            <c:numRef>
              <c:f>prepdash!$H$4</c:f>
              <c:numCache>
                <c:formatCode>"$"#,##0</c:formatCode>
                <c:ptCount val="1"/>
                <c:pt idx="0">
                  <c:v>2108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7-46F1-B825-70ACC8BB184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100"/>
        <c:axId val="1266997632"/>
        <c:axId val="1266998592"/>
      </c:barChart>
      <c:catAx>
        <c:axId val="126699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998592"/>
        <c:crosses val="autoZero"/>
        <c:auto val="1"/>
        <c:lblAlgn val="ctr"/>
        <c:lblOffset val="100"/>
        <c:noMultiLvlLbl val="0"/>
      </c:catAx>
      <c:valAx>
        <c:axId val="12669985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crossAx val="126699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</a:t>
            </a:r>
            <a:r>
              <a:rPr lang="en-US" baseline="0"/>
              <a:t> per Need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prepdash!$A$21:$A$25</c:f>
              <c:strCache>
                <c:ptCount val="5"/>
                <c:pt idx="0">
                  <c:v>Mo.Rent/Auto Pymnt</c:v>
                </c:pt>
                <c:pt idx="1">
                  <c:v>Auto Loan/Ins/Gas</c:v>
                </c:pt>
                <c:pt idx="2">
                  <c:v>Groceries</c:v>
                </c:pt>
                <c:pt idx="3">
                  <c:v>Utilities</c:v>
                </c:pt>
                <c:pt idx="4">
                  <c:v>Total</c:v>
                </c:pt>
              </c:strCache>
            </c:strRef>
          </c:cat>
          <c:val>
            <c:numRef>
              <c:f>prepdash!$B$21:$B$25</c:f>
              <c:numCache>
                <c:formatCode>General</c:formatCode>
                <c:ptCount val="5"/>
                <c:pt idx="0">
                  <c:v>1100</c:v>
                </c:pt>
                <c:pt idx="1">
                  <c:v>400</c:v>
                </c:pt>
                <c:pt idx="2">
                  <c:v>325</c:v>
                </c:pt>
                <c:pt idx="3">
                  <c:v>250</c:v>
                </c:pt>
                <c:pt idx="4">
                  <c:v>2075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4-4AEB-AA30-AFA30D119B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93494704"/>
        <c:axId val="1293487504"/>
      </c:barChart>
      <c:catAx>
        <c:axId val="129349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487504"/>
        <c:crosses val="autoZero"/>
        <c:auto val="1"/>
        <c:lblAlgn val="ctr"/>
        <c:lblOffset val="100"/>
        <c:noMultiLvlLbl val="0"/>
      </c:catAx>
      <c:valAx>
        <c:axId val="12934875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9349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Wants</a:t>
            </a:r>
          </a:p>
          <a:p>
            <a:pPr>
              <a:defRPr/>
            </a:pPr>
            <a:r>
              <a:rPr lang="en-US"/>
              <a:t>Budget</a:t>
            </a:r>
            <a:r>
              <a:rPr lang="en-US" baseline="0"/>
              <a:t> / Remainder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prepdash!$A$27</c:f>
              <c:strCache>
                <c:ptCount val="1"/>
                <c:pt idx="0">
                  <c:v>Wants</c:v>
                </c:pt>
              </c:strCache>
            </c:strRef>
          </c:cat>
          <c:val>
            <c:numRef>
              <c:f>prepdash!$L$5</c:f>
              <c:numCache>
                <c:formatCode>"$"#,##0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2-4B94-80FD-AC4B6149B644}"/>
            </c:ext>
          </c:extLst>
        </c:ser>
        <c:ser>
          <c:idx val="0"/>
          <c:order val="1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prepdash!$A$27</c:f>
              <c:strCache>
                <c:ptCount val="1"/>
                <c:pt idx="0">
                  <c:v>Wants</c:v>
                </c:pt>
              </c:strCache>
            </c:strRef>
          </c:cat>
          <c:val>
            <c:numRef>
              <c:f>prepdash!$H$5</c:f>
              <c:numCache>
                <c:formatCode>"$"#,##0</c:formatCode>
                <c:ptCount val="1"/>
                <c:pt idx="0">
                  <c:v>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D2-4B94-80FD-AC4B6149B64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100"/>
        <c:axId val="1266997632"/>
        <c:axId val="1266998592"/>
      </c:barChart>
      <c:catAx>
        <c:axId val="126699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998592"/>
        <c:crosses val="autoZero"/>
        <c:auto val="1"/>
        <c:lblAlgn val="ctr"/>
        <c:lblOffset val="100"/>
        <c:noMultiLvlLbl val="0"/>
      </c:catAx>
      <c:valAx>
        <c:axId val="12669985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crossAx val="126699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per Want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prepdash!$A$28:$A$32</c:f>
              <c:strCache>
                <c:ptCount val="5"/>
                <c:pt idx="0">
                  <c:v>Credit Cards</c:v>
                </c:pt>
                <c:pt idx="1">
                  <c:v>Dining/Going Out</c:v>
                </c:pt>
                <c:pt idx="2">
                  <c:v>Memberships/Subscriptions</c:v>
                </c:pt>
                <c:pt idx="3">
                  <c:v>Personal</c:v>
                </c:pt>
                <c:pt idx="4">
                  <c:v>Total</c:v>
                </c:pt>
              </c:strCache>
            </c:strRef>
          </c:cat>
          <c:val>
            <c:numRef>
              <c:f>prepdash!$B$28:$B$32</c:f>
              <c:numCache>
                <c:formatCode>General</c:formatCode>
                <c:ptCount val="5"/>
                <c:pt idx="0">
                  <c:v>150</c:v>
                </c:pt>
                <c:pt idx="1">
                  <c:v>100</c:v>
                </c:pt>
                <c:pt idx="2">
                  <c:v>100</c:v>
                </c:pt>
                <c:pt idx="3">
                  <c:v>250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5-48E0-BA47-538A9707287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93494704"/>
        <c:axId val="1293487504"/>
      </c:barChart>
      <c:catAx>
        <c:axId val="129349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487504"/>
        <c:crosses val="autoZero"/>
        <c:auto val="1"/>
        <c:lblAlgn val="ctr"/>
        <c:lblOffset val="100"/>
        <c:noMultiLvlLbl val="0"/>
      </c:catAx>
      <c:valAx>
        <c:axId val="12934875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9349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Save vs Net Saved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prepdash!$A$6</c:f>
              <c:strCache>
                <c:ptCount val="1"/>
                <c:pt idx="0">
                  <c:v>savings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alpha val="46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prepdash!$H$6</c:f>
              <c:numCache>
                <c:formatCode>"$"#,##0</c:formatCode>
                <c:ptCount val="1"/>
                <c:pt idx="0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3-4450-847B-FBEB55DCE244}"/>
            </c:ext>
          </c:extLst>
        </c:ser>
        <c:ser>
          <c:idx val="1"/>
          <c:order val="1"/>
          <c:tx>
            <c:strRef>
              <c:f>prepdash!$B$34</c:f>
              <c:strCache>
                <c:ptCount val="1"/>
                <c:pt idx="0">
                  <c:v>Net Saved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prepdash!$B$35</c:f>
              <c:numCache>
                <c:formatCode>"$"#,##0</c:formatCode>
                <c:ptCount val="1"/>
                <c:pt idx="0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73-4450-847B-FBEB55DCE24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8637568"/>
        <c:axId val="1338624608"/>
      </c:barChart>
      <c:catAx>
        <c:axId val="133863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624608"/>
        <c:crosses val="autoZero"/>
        <c:auto val="1"/>
        <c:lblAlgn val="ctr"/>
        <c:lblOffset val="100"/>
        <c:noMultiLvlLbl val="0"/>
      </c:catAx>
      <c:valAx>
        <c:axId val="13386246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crossAx val="133863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</xdr:colOff>
      <xdr:row>10</xdr:row>
      <xdr:rowOff>42862</xdr:rowOff>
    </xdr:from>
    <xdr:to>
      <xdr:col>11</xdr:col>
      <xdr:colOff>2114550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833123-4278-76DF-FFC6-AEFA9059B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23811</xdr:colOff>
      <xdr:row>20</xdr:row>
      <xdr:rowOff>119062</xdr:rowOff>
    </xdr:from>
    <xdr:to>
      <xdr:col>6</xdr:col>
      <xdr:colOff>571499</xdr:colOff>
      <xdr:row>33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D5A213-F0B7-E62A-BBA2-7F4C2FAA5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279401</xdr:colOff>
      <xdr:row>20</xdr:row>
      <xdr:rowOff>118004</xdr:rowOff>
    </xdr:from>
    <xdr:to>
      <xdr:col>11</xdr:col>
      <xdr:colOff>2116667</xdr:colOff>
      <xdr:row>33</xdr:row>
      <xdr:rowOff>56092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179354-C07A-0B92-ADC3-9E637ADAB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23810</xdr:colOff>
      <xdr:row>33</xdr:row>
      <xdr:rowOff>152399</xdr:rowOff>
    </xdr:from>
    <xdr:to>
      <xdr:col>4</xdr:col>
      <xdr:colOff>1581149</xdr:colOff>
      <xdr:row>48</xdr:row>
      <xdr:rowOff>142874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9E17762-0A0F-3922-B7CC-A65A3AF64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23812</xdr:colOff>
      <xdr:row>33</xdr:row>
      <xdr:rowOff>152400</xdr:rowOff>
    </xdr:from>
    <xdr:to>
      <xdr:col>11</xdr:col>
      <xdr:colOff>2114550</xdr:colOff>
      <xdr:row>48</xdr:row>
      <xdr:rowOff>166687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D8E406D-3CAC-4009-646B-68868D4E6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19050</xdr:colOff>
      <xdr:row>50</xdr:row>
      <xdr:rowOff>0</xdr:rowOff>
    </xdr:from>
    <xdr:to>
      <xdr:col>4</xdr:col>
      <xdr:colOff>1576389</xdr:colOff>
      <xdr:row>65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948770-D4AA-4C5F-93AB-CC4D73569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19050</xdr:colOff>
      <xdr:row>50</xdr:row>
      <xdr:rowOff>0</xdr:rowOff>
    </xdr:from>
    <xdr:to>
      <xdr:col>11</xdr:col>
      <xdr:colOff>2109788</xdr:colOff>
      <xdr:row>65</xdr:row>
      <xdr:rowOff>33337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A76B324-74EC-4812-BBDB-B7E9D444A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376237</xdr:colOff>
      <xdr:row>66</xdr:row>
      <xdr:rowOff>33337</xdr:rowOff>
    </xdr:from>
    <xdr:to>
      <xdr:col>10</xdr:col>
      <xdr:colOff>666750</xdr:colOff>
      <xdr:row>83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E081B1B-3422-11AF-666F-012680721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BC7840-F033-469C-BBE9-319281194143}" name="localprice" displayName="localprice" ref="A1:B67" totalsRowShown="0">
  <autoFilter ref="A1:B67" xr:uid="{06BC7840-F033-469C-BBE9-319281194143}">
    <filterColumn colId="0" hiddenButton="1"/>
    <filterColumn colId="1" hiddenButton="1"/>
  </autoFilter>
  <tableColumns count="2">
    <tableColumn id="1" xr3:uid="{9E48CC42-0DF4-44F9-AD67-694E70329925}" name="State"/>
    <tableColumn id="2" xr3:uid="{E9AAD8D4-2B83-461F-8EA6-53CECBF5AA08}" name="Avg 1BR Ren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7400F6-F380-41C6-81A4-DAADF891A1F4}" name="grosstable" displayName="grosstable" ref="D1:D40" totalsRowShown="0">
  <autoFilter ref="D1:D40" xr:uid="{7E7400F6-F380-41C6-81A4-DAADF891A1F4}">
    <filterColumn colId="0" hiddenButton="1"/>
  </autoFilter>
  <tableColumns count="1">
    <tableColumn id="1" xr3:uid="{BB1EA129-FDCB-4F49-ADF1-1863740E6205}" name="Gross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87DC81-D563-419F-AE55-1A23F05DA280}" name="whtable" displayName="whtable" ref="F1:F18" totalsRowShown="0">
  <autoFilter ref="F1:F18" xr:uid="{2387DC81-D563-419F-AE55-1A23F05DA280}">
    <filterColumn colId="0" hiddenButton="1"/>
  </autoFilter>
  <tableColumns count="1">
    <tableColumn id="1" xr3:uid="{17CC2E67-28A2-4654-A2D8-112540570DC9}" name="wh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3CB9C6-13BA-4AA9-A4B6-C40C8C8A514E}" name="spread" displayName="spread" ref="H1:H5" totalsRowShown="0">
  <autoFilter ref="H1:H5" xr:uid="{E63CB9C6-13BA-4AA9-A4B6-C40C8C8A514E}">
    <filterColumn colId="0" hiddenButton="1"/>
  </autoFilter>
  <tableColumns count="1">
    <tableColumn id="1" xr3:uid="{C5EEF4A9-736F-40F2-970F-19F69AD6410B}" name="spead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92436E-4B0A-47F3-ADDE-8A3E48C757DE}" name="autopmnt" displayName="autopmnt" ref="J1:J31" totalsRowShown="0">
  <autoFilter ref="J1:J31" xr:uid="{EC92436E-4B0A-47F3-ADDE-8A3E48C757DE}">
    <filterColumn colId="0" hiddenButton="1"/>
  </autoFilter>
  <tableColumns count="1">
    <tableColumn id="1" xr3:uid="{28A7313A-36DC-4254-9371-DBF3E71FDFD9}" name="autopmnt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1C92F4-0F88-4DF7-8A07-C53DDBF80B8D}" name="groceries" displayName="groceries" ref="L1:L42" totalsRowShown="0">
  <autoFilter ref="L1:L42" xr:uid="{5C1C92F4-0F88-4DF7-8A07-C53DDBF80B8D}">
    <filterColumn colId="0" hiddenButton="1"/>
  </autoFilter>
  <tableColumns count="1">
    <tableColumn id="1" xr3:uid="{23C11B76-9E62-465A-8AFF-C1E834F3D105}" name="groceries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7983F9-0BE2-4C2F-B218-DC25DAC7929E}" name="utilties" displayName="utilties" ref="N1:N41" totalsRowShown="0">
  <autoFilter ref="N1:N41" xr:uid="{B17983F9-0BE2-4C2F-B218-DC25DAC7929E}">
    <filterColumn colId="0" hiddenButton="1"/>
  </autoFilter>
  <tableColumns count="1">
    <tableColumn id="1" xr3:uid="{06968BD6-750A-4132-B912-62811A8629F8}" name="utilities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145B21D-4DFC-4C92-9435-82062697375E}" name="creditcards" displayName="creditcards" ref="U1:U41" totalsRowShown="0">
  <autoFilter ref="U1:U41" xr:uid="{E145B21D-4DFC-4C92-9435-82062697375E}">
    <filterColumn colId="0" hiddenButton="1"/>
  </autoFilter>
  <tableColumns count="1">
    <tableColumn id="1" xr3:uid="{DACC657B-B662-43C8-BBD0-C1E14157E590}" name="Credit Cards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F8E52C-FB01-46D2-A0C3-56B94FE1B32E}" name="goingout" displayName="goingout" ref="W1:W22" totalsRowShown="0">
  <autoFilter ref="W1:W22" xr:uid="{2DF8E52C-FB01-46D2-A0C3-56B94FE1B32E}">
    <filterColumn colId="0" hiddenButton="1"/>
  </autoFilter>
  <tableColumns count="1">
    <tableColumn id="1" xr3:uid="{DF8577DB-677D-4AFF-8800-D0F63FE35411}" name="Dining/Going Out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E4A837A-9824-4097-B1DA-B3B119A79E55}" name="memberships" displayName="memberships" ref="Y1:Y41" totalsRowShown="0" headerRowDxfId="1">
  <autoFilter ref="Y1:Y41" xr:uid="{CE4A837A-9824-4097-B1DA-B3B119A79E55}">
    <filterColumn colId="0" hiddenButton="1"/>
  </autoFilter>
  <tableColumns count="1">
    <tableColumn id="1" xr3:uid="{A97F4501-8464-45EE-8146-1B6D0C2A7A3D}" name="Memberships/Subscriptions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5286F01-47B7-45CD-AF8D-B123A6CAB167}" name="personal" displayName="personal" ref="AA1:AA22" totalsRowShown="0" headerRowDxfId="0">
  <autoFilter ref="AA1:AA22" xr:uid="{05286F01-47B7-45CD-AF8D-B123A6CAB167}">
    <filterColumn colId="0" hiddenButton="1"/>
  </autoFilter>
  <tableColumns count="1">
    <tableColumn id="1" xr3:uid="{535BEBB5-91EF-4200-B35E-F60FA59619F5}" name="Persona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biased.com/discover/banking/average-1-bedroom-apartment-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E09A-19FD-4730-A165-FF1224869CFF}">
  <dimension ref="A1:J5"/>
  <sheetViews>
    <sheetView tabSelected="1" workbookViewId="0">
      <selection activeCell="F10" sqref="F10:F11"/>
    </sheetView>
  </sheetViews>
  <sheetFormatPr defaultRowHeight="14.4" x14ac:dyDescent="0.55000000000000004"/>
  <sheetData>
    <row r="1" spans="1:10" ht="26.4" x14ac:dyDescent="1">
      <c r="A1" s="31" t="s">
        <v>123</v>
      </c>
      <c r="B1" s="32"/>
      <c r="C1" s="32"/>
      <c r="D1" s="32"/>
      <c r="E1" s="32"/>
      <c r="F1" s="32"/>
      <c r="G1" s="32"/>
      <c r="H1" s="32"/>
      <c r="I1" s="32"/>
      <c r="J1" s="33"/>
    </row>
    <row r="2" spans="1:10" x14ac:dyDescent="0.55000000000000004">
      <c r="A2" s="34"/>
      <c r="B2" s="35"/>
      <c r="C2" s="35"/>
      <c r="D2" s="35"/>
      <c r="E2" s="35"/>
      <c r="F2" s="35"/>
      <c r="G2" s="35"/>
      <c r="H2" s="35"/>
      <c r="I2" s="35"/>
      <c r="J2" s="36"/>
    </row>
    <row r="3" spans="1:10" ht="21.3" x14ac:dyDescent="0.85">
      <c r="A3" s="37" t="s">
        <v>124</v>
      </c>
      <c r="B3" s="38"/>
      <c r="C3" s="38"/>
      <c r="D3" s="38"/>
      <c r="E3" s="38"/>
      <c r="F3" s="38"/>
      <c r="G3" s="38"/>
      <c r="H3" s="38"/>
      <c r="I3" s="38"/>
      <c r="J3" s="39"/>
    </row>
    <row r="4" spans="1:10" ht="21.3" x14ac:dyDescent="0.85">
      <c r="A4" s="37" t="s">
        <v>125</v>
      </c>
      <c r="B4" s="38"/>
      <c r="C4" s="38"/>
      <c r="D4" s="38"/>
      <c r="E4" s="38"/>
      <c r="F4" s="38"/>
      <c r="G4" s="38"/>
      <c r="H4" s="38"/>
      <c r="I4" s="38"/>
      <c r="J4" s="39"/>
    </row>
    <row r="5" spans="1:10" ht="14.7" thickBot="1" x14ac:dyDescent="0.6">
      <c r="A5" s="40"/>
      <c r="B5" s="41"/>
      <c r="C5" s="41"/>
      <c r="D5" s="41"/>
      <c r="E5" s="41"/>
      <c r="F5" s="41"/>
      <c r="G5" s="41"/>
      <c r="H5" s="41"/>
      <c r="I5" s="41"/>
      <c r="J5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796A-8B27-40E7-8479-7A514B3BD3D5}">
  <dimension ref="A1:U37"/>
  <sheetViews>
    <sheetView zoomScale="90" zoomScaleNormal="90" workbookViewId="0">
      <selection activeCell="C18" sqref="C18"/>
    </sheetView>
  </sheetViews>
  <sheetFormatPr defaultRowHeight="14.4" x14ac:dyDescent="0.55000000000000004"/>
  <cols>
    <col min="1" max="1" width="32.578125" bestFit="1" customWidth="1"/>
    <col min="2" max="2" width="12.83984375" bestFit="1" customWidth="1"/>
    <col min="3" max="3" width="24.41796875" bestFit="1" customWidth="1"/>
    <col min="4" max="4" width="13.68359375" bestFit="1" customWidth="1"/>
    <col min="5" max="5" width="26.68359375" bestFit="1" customWidth="1"/>
    <col min="6" max="6" width="22.26171875" bestFit="1" customWidth="1"/>
    <col min="7" max="7" width="10.68359375" bestFit="1" customWidth="1"/>
    <col min="8" max="8" width="12" bestFit="1" customWidth="1"/>
    <col min="9" max="9" width="10.68359375" bestFit="1" customWidth="1"/>
    <col min="10" max="10" width="10.15625" bestFit="1" customWidth="1"/>
    <col min="11" max="11" width="10.15625" customWidth="1"/>
    <col min="12" max="12" width="32.578125" bestFit="1" customWidth="1"/>
  </cols>
  <sheetData>
    <row r="1" spans="1:21" ht="31.5" x14ac:dyDescent="1.2">
      <c r="A1" s="29" t="s">
        <v>118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1" ht="14.7" thickBot="1" x14ac:dyDescent="0.6">
      <c r="A2" s="5" t="s">
        <v>22</v>
      </c>
      <c r="B2" s="5" t="s">
        <v>23</v>
      </c>
      <c r="C2" s="5" t="s">
        <v>0</v>
      </c>
      <c r="D2" s="5" t="s">
        <v>8</v>
      </c>
      <c r="E2" s="5" t="s">
        <v>11</v>
      </c>
      <c r="F2" s="5" t="s">
        <v>1</v>
      </c>
      <c r="G2" s="5" t="s">
        <v>2</v>
      </c>
      <c r="H2" s="9" t="s">
        <v>9</v>
      </c>
      <c r="I2" s="5" t="s">
        <v>10</v>
      </c>
      <c r="J2" s="5" t="s">
        <v>3</v>
      </c>
      <c r="K2" s="5"/>
      <c r="L2" s="8" t="s">
        <v>24</v>
      </c>
      <c r="M2" s="5"/>
    </row>
    <row r="3" spans="1:21" ht="14.7" thickTop="1" x14ac:dyDescent="0.55000000000000004">
      <c r="A3" t="s">
        <v>21</v>
      </c>
      <c r="B3">
        <v>1</v>
      </c>
      <c r="C3" s="17">
        <f>A12</f>
        <v>51500</v>
      </c>
      <c r="D3" s="17">
        <f>ROUND((A12/26)*2,0)</f>
        <v>3962</v>
      </c>
      <c r="E3" s="17">
        <f>ROUND(A12/26,0)</f>
        <v>1981</v>
      </c>
      <c r="F3" s="16">
        <f>ROUND(A12/2080,2)</f>
        <v>24.76</v>
      </c>
      <c r="G3" s="17">
        <f>(A12*(1-A14))</f>
        <v>39140</v>
      </c>
      <c r="H3" s="18">
        <f>ROUND((G3/26)*2,0)</f>
        <v>3011</v>
      </c>
      <c r="I3" s="17">
        <f>ROUND(G3/26,0)</f>
        <v>1505</v>
      </c>
      <c r="J3" s="16">
        <f>ROUND(G3/2080,2)</f>
        <v>18.82</v>
      </c>
      <c r="L3" s="20">
        <f>ROUND(H3,0)</f>
        <v>3011</v>
      </c>
    </row>
    <row r="4" spans="1:21" x14ac:dyDescent="0.55000000000000004">
      <c r="A4" t="s">
        <v>18</v>
      </c>
      <c r="B4" cm="1">
        <f t="array" ref="B4:B6">_xlfn._xlws.FILTER(lists!P2:S4,lists!P1:S1=A18)</f>
        <v>0.7</v>
      </c>
      <c r="C4" s="17">
        <f>$C$3*B4</f>
        <v>36050</v>
      </c>
      <c r="D4" s="17">
        <f>ROUND($D$3*B4,0)</f>
        <v>2773</v>
      </c>
      <c r="E4" s="17">
        <f>ROUND($E$3*B4,0)</f>
        <v>1387</v>
      </c>
      <c r="F4" s="16">
        <f>ROUND($F$3*B4,2)</f>
        <v>17.329999999999998</v>
      </c>
      <c r="G4" s="17">
        <f>ROUND($G$3*B4,2)</f>
        <v>27398</v>
      </c>
      <c r="H4" s="18">
        <f>ROUND($H$3*B4,0)</f>
        <v>2108</v>
      </c>
      <c r="I4" s="17">
        <f>ROUND($I$3*B4,0)</f>
        <v>1054</v>
      </c>
      <c r="J4" s="16">
        <f>ROUND($J$3*B4,2)</f>
        <v>13.17</v>
      </c>
      <c r="L4" s="20">
        <f>ROUND(H4-B25,0)</f>
        <v>33</v>
      </c>
    </row>
    <row r="5" spans="1:21" x14ac:dyDescent="0.55000000000000004">
      <c r="A5" t="s">
        <v>17</v>
      </c>
      <c r="B5">
        <v>0.2</v>
      </c>
      <c r="C5" s="17">
        <f>$C$3*B5</f>
        <v>10300</v>
      </c>
      <c r="D5" s="17">
        <f>ROUND($D$3*B5,0)</f>
        <v>792</v>
      </c>
      <c r="E5" s="17">
        <f>ROUND($E$3*B5,0)</f>
        <v>396</v>
      </c>
      <c r="F5" s="16">
        <f>ROUND($F$3*B5,2)</f>
        <v>4.95</v>
      </c>
      <c r="G5" s="17">
        <f>ROUND($G$3*B5,2)</f>
        <v>7828</v>
      </c>
      <c r="H5" s="18">
        <f>ROUND($H$3*B5,0)</f>
        <v>602</v>
      </c>
      <c r="I5" s="17">
        <f>ROUND($I$3*B5,0)</f>
        <v>301</v>
      </c>
      <c r="J5" s="16">
        <f>ROUND($J$3*B5,2)</f>
        <v>3.76</v>
      </c>
      <c r="L5" s="20">
        <f>ROUND(H5-B32,0)</f>
        <v>2</v>
      </c>
    </row>
    <row r="6" spans="1:21" x14ac:dyDescent="0.55000000000000004">
      <c r="A6" t="s">
        <v>19</v>
      </c>
      <c r="B6">
        <v>0.1</v>
      </c>
      <c r="C6" s="17">
        <f>$C$3*B6</f>
        <v>5150</v>
      </c>
      <c r="D6" s="17">
        <f>ROUND($D$3*B6,0)</f>
        <v>396</v>
      </c>
      <c r="E6" s="17">
        <f>ROUND($E$3*B6,0)</f>
        <v>198</v>
      </c>
      <c r="F6" s="16">
        <f>ROUND($F$3*B6,2)</f>
        <v>2.48</v>
      </c>
      <c r="G6" s="17">
        <f>ROUND($G$3*B6,2)</f>
        <v>3914</v>
      </c>
      <c r="H6" s="18">
        <f>ROUND($H$3*B6,0)</f>
        <v>301</v>
      </c>
      <c r="I6" s="17">
        <f>ROUND($I$3*B6,0)</f>
        <v>151</v>
      </c>
      <c r="J6" s="16">
        <f>ROUND($J$3*B6,2)</f>
        <v>1.88</v>
      </c>
      <c r="L6" s="20">
        <f>ROUND(H6,0)</f>
        <v>301</v>
      </c>
    </row>
    <row r="7" spans="1:21" x14ac:dyDescent="0.55000000000000004">
      <c r="A7" t="s">
        <v>25</v>
      </c>
      <c r="B7">
        <v>0</v>
      </c>
      <c r="C7" s="17">
        <f>SUM(C4:C5)</f>
        <v>46350</v>
      </c>
      <c r="D7" s="17">
        <f t="shared" ref="D7:J7" si="0">SUM(D4:D5)</f>
        <v>3565</v>
      </c>
      <c r="E7" s="17">
        <f t="shared" si="0"/>
        <v>1783</v>
      </c>
      <c r="F7" s="16">
        <f>SUM(F4:F5)</f>
        <v>22.279999999999998</v>
      </c>
      <c r="G7" s="17">
        <f t="shared" si="0"/>
        <v>35226</v>
      </c>
      <c r="H7" s="19">
        <f t="shared" si="0"/>
        <v>2710</v>
      </c>
      <c r="I7" s="17">
        <f t="shared" si="0"/>
        <v>1355</v>
      </c>
      <c r="J7" s="16">
        <f t="shared" si="0"/>
        <v>16.93</v>
      </c>
      <c r="L7" s="21">
        <f>ROUND(SUM(L4:L5),0)</f>
        <v>35</v>
      </c>
    </row>
    <row r="9" spans="1:21" ht="6.75" customHeight="1" x14ac:dyDescent="0.5500000000000000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1" spans="1:21" x14ac:dyDescent="0.55000000000000004">
      <c r="A11" s="3" t="s">
        <v>12</v>
      </c>
      <c r="C11" s="30" t="s">
        <v>122</v>
      </c>
    </row>
    <row r="12" spans="1:21" x14ac:dyDescent="0.55000000000000004">
      <c r="A12" s="2">
        <v>51500</v>
      </c>
      <c r="C12" s="30" t="s">
        <v>119</v>
      </c>
    </row>
    <row r="13" spans="1:21" x14ac:dyDescent="0.55000000000000004">
      <c r="A13" s="3" t="s">
        <v>40</v>
      </c>
      <c r="C13" s="30" t="s">
        <v>120</v>
      </c>
    </row>
    <row r="14" spans="1:21" x14ac:dyDescent="0.55000000000000004">
      <c r="A14" s="2">
        <v>0.24</v>
      </c>
      <c r="C14" s="30" t="s">
        <v>121</v>
      </c>
    </row>
    <row r="15" spans="1:21" x14ac:dyDescent="0.55000000000000004">
      <c r="A15" s="3" t="s">
        <v>102</v>
      </c>
      <c r="C15" s="30" t="s">
        <v>122</v>
      </c>
    </row>
    <row r="16" spans="1:21" x14ac:dyDescent="0.55000000000000004">
      <c r="A16" s="4" t="s">
        <v>109</v>
      </c>
    </row>
    <row r="17" spans="1:3" x14ac:dyDescent="0.55000000000000004">
      <c r="A17" s="3" t="s">
        <v>15</v>
      </c>
    </row>
    <row r="18" spans="1:3" x14ac:dyDescent="0.55000000000000004">
      <c r="A18" s="4" t="s">
        <v>6</v>
      </c>
    </row>
    <row r="19" spans="1:3" x14ac:dyDescent="0.55000000000000004">
      <c r="B19" s="22"/>
    </row>
    <row r="20" spans="1:3" ht="14.7" thickBot="1" x14ac:dyDescent="0.6">
      <c r="A20" s="5" t="s">
        <v>32</v>
      </c>
      <c r="B20" s="23" t="s">
        <v>33</v>
      </c>
    </row>
    <row r="21" spans="1:3" ht="14.7" thickTop="1" x14ac:dyDescent="0.55000000000000004">
      <c r="A21" t="s">
        <v>26</v>
      </c>
      <c r="B21" s="22">
        <f>_xlfn.XLOOKUP(A16,localprice[State],localprice[Avg 1BR Rent])</f>
        <v>1100</v>
      </c>
    </row>
    <row r="22" spans="1:3" x14ac:dyDescent="0.55000000000000004">
      <c r="A22" t="s">
        <v>31</v>
      </c>
      <c r="B22" s="22">
        <v>400</v>
      </c>
    </row>
    <row r="23" spans="1:3" x14ac:dyDescent="0.55000000000000004">
      <c r="A23" t="s">
        <v>27</v>
      </c>
      <c r="B23" s="22">
        <v>325</v>
      </c>
    </row>
    <row r="24" spans="1:3" ht="14.7" thickBot="1" x14ac:dyDescent="0.6">
      <c r="A24" s="6" t="s">
        <v>28</v>
      </c>
      <c r="B24" s="22">
        <v>250</v>
      </c>
      <c r="C24" s="30" t="s">
        <v>122</v>
      </c>
    </row>
    <row r="25" spans="1:3" ht="14.7" thickTop="1" x14ac:dyDescent="0.55000000000000004">
      <c r="A25" s="7" t="s">
        <v>39</v>
      </c>
      <c r="B25" s="24">
        <f>SUM(B21:B24)</f>
        <v>2075</v>
      </c>
      <c r="C25" s="30" t="s">
        <v>119</v>
      </c>
    </row>
    <row r="26" spans="1:3" x14ac:dyDescent="0.55000000000000004">
      <c r="B26" s="22"/>
      <c r="C26" s="30" t="s">
        <v>120</v>
      </c>
    </row>
    <row r="27" spans="1:3" ht="14.7" thickBot="1" x14ac:dyDescent="0.6">
      <c r="A27" s="5" t="s">
        <v>34</v>
      </c>
      <c r="B27" s="23" t="s">
        <v>33</v>
      </c>
      <c r="C27" s="30" t="s">
        <v>121</v>
      </c>
    </row>
    <row r="28" spans="1:3" ht="14.7" thickTop="1" x14ac:dyDescent="0.55000000000000004">
      <c r="A28" t="s">
        <v>35</v>
      </c>
      <c r="B28" s="22">
        <v>150</v>
      </c>
      <c r="C28" s="30" t="s">
        <v>122</v>
      </c>
    </row>
    <row r="29" spans="1:3" x14ac:dyDescent="0.55000000000000004">
      <c r="A29" t="s">
        <v>36</v>
      </c>
      <c r="B29" s="22">
        <v>100</v>
      </c>
    </row>
    <row r="30" spans="1:3" x14ac:dyDescent="0.55000000000000004">
      <c r="A30" t="s">
        <v>37</v>
      </c>
      <c r="B30" s="22">
        <v>100</v>
      </c>
    </row>
    <row r="31" spans="1:3" ht="14.7" thickBot="1" x14ac:dyDescent="0.6">
      <c r="A31" t="s">
        <v>38</v>
      </c>
      <c r="B31" s="22">
        <v>250</v>
      </c>
    </row>
    <row r="32" spans="1:3" ht="14.7" thickTop="1" x14ac:dyDescent="0.55000000000000004">
      <c r="A32" s="7" t="s">
        <v>39</v>
      </c>
      <c r="B32" s="24">
        <f>SUM(B28:B31)</f>
        <v>600</v>
      </c>
    </row>
    <row r="33" spans="1:2" x14ac:dyDescent="0.55000000000000004">
      <c r="B33" s="22"/>
    </row>
    <row r="34" spans="1:2" ht="14.7" thickBot="1" x14ac:dyDescent="0.6">
      <c r="A34" s="5" t="s">
        <v>41</v>
      </c>
      <c r="B34" s="23" t="s">
        <v>43</v>
      </c>
    </row>
    <row r="35" spans="1:2" ht="14.7" thickTop="1" x14ac:dyDescent="0.55000000000000004">
      <c r="A35" t="s">
        <v>42</v>
      </c>
      <c r="B35" s="28">
        <f>L6+L7</f>
        <v>336</v>
      </c>
    </row>
    <row r="36" spans="1:2" x14ac:dyDescent="0.55000000000000004">
      <c r="A36" s="25"/>
      <c r="B36" s="26"/>
    </row>
    <row r="37" spans="1:2" x14ac:dyDescent="0.55000000000000004">
      <c r="B37" s="27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CE2B2B55-75BA-491A-BC6B-AEEFB7C7C783}">
          <x14:formula1>
            <xm:f>lists!$A$2:$A$67</xm:f>
          </x14:formula1>
          <xm:sqref>A16</xm:sqref>
        </x14:dataValidation>
        <x14:dataValidation type="list" allowBlank="1" showInputMessage="1" showErrorMessage="1" xr:uid="{0FD4EDF3-3581-4ACF-9A57-984A8AFBB8EA}">
          <x14:formula1>
            <xm:f>lists!$D$2:$D$40</xm:f>
          </x14:formula1>
          <xm:sqref>A12</xm:sqref>
        </x14:dataValidation>
        <x14:dataValidation type="list" allowBlank="1" showInputMessage="1" showErrorMessage="1" xr:uid="{85270099-29D2-47FD-BAED-C61E8CAB0118}">
          <x14:formula1>
            <xm:f>lists!$F$2:$F$18</xm:f>
          </x14:formula1>
          <xm:sqref>A14</xm:sqref>
        </x14:dataValidation>
        <x14:dataValidation type="list" allowBlank="1" showInputMessage="1" showErrorMessage="1" xr:uid="{97B7255B-6E02-4E2A-A45A-A1576931A9A0}">
          <x14:formula1>
            <xm:f>lists!$H$2:$H$5</xm:f>
          </x14:formula1>
          <xm:sqref>A18</xm:sqref>
        </x14:dataValidation>
        <x14:dataValidation type="list" allowBlank="1" showInputMessage="1" showErrorMessage="1" xr:uid="{D5988C21-E231-41C2-AFE2-075918061203}">
          <x14:formula1>
            <xm:f>lists!$J$2:$J$31</xm:f>
          </x14:formula1>
          <xm:sqref>B22</xm:sqref>
        </x14:dataValidation>
        <x14:dataValidation type="list" allowBlank="1" showInputMessage="1" showErrorMessage="1" xr:uid="{B9749F8A-5A29-4C47-A30C-4EEC22D2DEEF}">
          <x14:formula1>
            <xm:f>lists!$L$2:$L$42</xm:f>
          </x14:formula1>
          <xm:sqref>B23</xm:sqref>
        </x14:dataValidation>
        <x14:dataValidation type="list" allowBlank="1" showInputMessage="1" showErrorMessage="1" xr:uid="{5D736DEE-F377-4D08-B3F3-202A3CA47301}">
          <x14:formula1>
            <xm:f>lists!$N$2:$N$41</xm:f>
          </x14:formula1>
          <xm:sqref>B24</xm:sqref>
        </x14:dataValidation>
        <x14:dataValidation type="list" allowBlank="1" showInputMessage="1" showErrorMessage="1" xr:uid="{D57C6030-EF3E-43A9-B93C-A194632FBE7F}">
          <x14:formula1>
            <xm:f>lists!$U$2:$U$41</xm:f>
          </x14:formula1>
          <xm:sqref>B28</xm:sqref>
        </x14:dataValidation>
        <x14:dataValidation type="list" allowBlank="1" showInputMessage="1" showErrorMessage="1" xr:uid="{FD4DDF07-254C-49D3-AF1E-247791433925}">
          <x14:formula1>
            <xm:f>lists!$W$2:$W$22</xm:f>
          </x14:formula1>
          <xm:sqref>B29</xm:sqref>
        </x14:dataValidation>
        <x14:dataValidation type="list" allowBlank="1" showInputMessage="1" showErrorMessage="1" xr:uid="{0DFD9553-240D-4F2E-8FAF-D7C77B0F1EB7}">
          <x14:formula1>
            <xm:f>lists!$Y$2:$Y$41</xm:f>
          </x14:formula1>
          <xm:sqref>B30</xm:sqref>
        </x14:dataValidation>
        <x14:dataValidation type="list" allowBlank="1" showInputMessage="1" showErrorMessage="1" xr:uid="{EC320E0A-8FD3-4BD5-819F-305BABE262B2}">
          <x14:formula1>
            <xm:f>lists!$AA$2:$AA$22</xm:f>
          </x14:formula1>
          <xm:sqref>B31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7602-BC3A-476F-9780-CA3CD675054D}">
  <dimension ref="A1:AA67"/>
  <sheetViews>
    <sheetView workbookViewId="0">
      <selection activeCell="E64" sqref="E64"/>
    </sheetView>
  </sheetViews>
  <sheetFormatPr defaultRowHeight="14.4" x14ac:dyDescent="0.55000000000000004"/>
  <cols>
    <col min="1" max="1" width="18.68359375" bestFit="1" customWidth="1"/>
    <col min="2" max="2" width="12.68359375" bestFit="1" customWidth="1"/>
    <col min="10" max="10" width="11.83984375" customWidth="1"/>
    <col min="12" max="12" width="11.578125" customWidth="1"/>
    <col min="14" max="14" width="10.15625" customWidth="1"/>
    <col min="21" max="21" width="14.578125" customWidth="1"/>
    <col min="23" max="23" width="18.68359375" customWidth="1"/>
    <col min="25" max="25" width="28.578125" customWidth="1"/>
    <col min="27" max="27" width="11" customWidth="1"/>
  </cols>
  <sheetData>
    <row r="1" spans="1:27" x14ac:dyDescent="0.55000000000000004">
      <c r="A1" t="s">
        <v>44</v>
      </c>
      <c r="B1" t="s">
        <v>45</v>
      </c>
      <c r="D1" t="s">
        <v>13</v>
      </c>
      <c r="F1" t="s">
        <v>14</v>
      </c>
      <c r="H1" t="s">
        <v>16</v>
      </c>
      <c r="J1" t="s">
        <v>20</v>
      </c>
      <c r="L1" t="s">
        <v>29</v>
      </c>
      <c r="N1" t="s">
        <v>30</v>
      </c>
      <c r="P1" t="s">
        <v>4</v>
      </c>
      <c r="Q1" t="s">
        <v>5</v>
      </c>
      <c r="R1" t="s">
        <v>6</v>
      </c>
      <c r="S1" t="s">
        <v>7</v>
      </c>
      <c r="U1" t="s">
        <v>35</v>
      </c>
      <c r="W1" t="s">
        <v>36</v>
      </c>
      <c r="Y1" t="s">
        <v>37</v>
      </c>
      <c r="AA1" t="s">
        <v>38</v>
      </c>
    </row>
    <row r="2" spans="1:27" x14ac:dyDescent="0.55000000000000004">
      <c r="A2" t="s">
        <v>46</v>
      </c>
      <c r="B2">
        <v>1400</v>
      </c>
      <c r="D2">
        <v>40000</v>
      </c>
      <c r="F2">
        <v>0.14000000000000001</v>
      </c>
      <c r="H2" t="s">
        <v>4</v>
      </c>
      <c r="J2">
        <v>0</v>
      </c>
      <c r="L2">
        <v>0</v>
      </c>
      <c r="N2">
        <v>0</v>
      </c>
      <c r="P2">
        <v>0.5</v>
      </c>
      <c r="Q2">
        <v>0.6</v>
      </c>
      <c r="R2">
        <v>0.7</v>
      </c>
      <c r="S2">
        <v>0.8</v>
      </c>
      <c r="U2">
        <v>0</v>
      </c>
      <c r="W2">
        <v>0</v>
      </c>
      <c r="Y2">
        <v>0</v>
      </c>
      <c r="AA2">
        <v>0</v>
      </c>
    </row>
    <row r="3" spans="1:27" x14ac:dyDescent="0.55000000000000004">
      <c r="A3" t="s">
        <v>47</v>
      </c>
      <c r="B3">
        <v>1264</v>
      </c>
      <c r="D3">
        <v>41500</v>
      </c>
      <c r="F3">
        <v>0.15</v>
      </c>
      <c r="H3" t="s">
        <v>5</v>
      </c>
      <c r="J3">
        <v>100</v>
      </c>
      <c r="L3">
        <v>25</v>
      </c>
      <c r="N3">
        <v>50</v>
      </c>
      <c r="P3">
        <v>0.3</v>
      </c>
      <c r="Q3">
        <v>0.25</v>
      </c>
      <c r="R3">
        <v>0.2</v>
      </c>
      <c r="S3">
        <v>0.15</v>
      </c>
      <c r="U3">
        <v>50</v>
      </c>
      <c r="W3">
        <v>50</v>
      </c>
      <c r="Y3">
        <v>50</v>
      </c>
      <c r="AA3">
        <v>50</v>
      </c>
    </row>
    <row r="4" spans="1:27" x14ac:dyDescent="0.55000000000000004">
      <c r="A4" t="s">
        <v>48</v>
      </c>
      <c r="B4">
        <v>1312</v>
      </c>
      <c r="D4">
        <v>42000</v>
      </c>
      <c r="F4">
        <v>0.16</v>
      </c>
      <c r="H4" t="s">
        <v>6</v>
      </c>
      <c r="J4">
        <v>125</v>
      </c>
      <c r="L4">
        <v>50</v>
      </c>
      <c r="N4">
        <v>75</v>
      </c>
      <c r="P4">
        <v>0.2</v>
      </c>
      <c r="Q4">
        <v>0.15</v>
      </c>
      <c r="R4">
        <v>0.1</v>
      </c>
      <c r="S4">
        <v>0.5</v>
      </c>
      <c r="U4">
        <v>75</v>
      </c>
      <c r="W4">
        <v>100</v>
      </c>
      <c r="Y4">
        <v>75</v>
      </c>
      <c r="AA4">
        <v>100</v>
      </c>
    </row>
    <row r="5" spans="1:27" x14ac:dyDescent="0.55000000000000004">
      <c r="A5" t="s">
        <v>49</v>
      </c>
      <c r="B5">
        <v>915</v>
      </c>
      <c r="D5">
        <v>42500</v>
      </c>
      <c r="F5">
        <v>0.17</v>
      </c>
      <c r="H5" t="s">
        <v>7</v>
      </c>
      <c r="J5">
        <v>150</v>
      </c>
      <c r="L5">
        <v>75</v>
      </c>
      <c r="N5">
        <v>100</v>
      </c>
      <c r="U5">
        <v>100</v>
      </c>
      <c r="W5">
        <v>150</v>
      </c>
      <c r="Y5">
        <v>100</v>
      </c>
      <c r="AA5">
        <v>150</v>
      </c>
    </row>
    <row r="6" spans="1:27" x14ac:dyDescent="0.55000000000000004">
      <c r="A6" t="s">
        <v>50</v>
      </c>
      <c r="B6">
        <v>1145</v>
      </c>
      <c r="D6">
        <v>43000</v>
      </c>
      <c r="F6">
        <v>0.18</v>
      </c>
      <c r="J6">
        <v>175</v>
      </c>
      <c r="L6">
        <v>100</v>
      </c>
      <c r="N6">
        <v>125</v>
      </c>
      <c r="U6">
        <v>125</v>
      </c>
      <c r="W6">
        <v>200</v>
      </c>
      <c r="Y6">
        <v>125</v>
      </c>
      <c r="AA6">
        <v>200</v>
      </c>
    </row>
    <row r="7" spans="1:27" x14ac:dyDescent="0.55000000000000004">
      <c r="A7" t="s">
        <v>51</v>
      </c>
      <c r="B7">
        <v>1300</v>
      </c>
      <c r="D7">
        <v>43500</v>
      </c>
      <c r="F7">
        <v>0.19</v>
      </c>
      <c r="J7">
        <v>200</v>
      </c>
      <c r="L7">
        <v>125</v>
      </c>
      <c r="N7">
        <v>150</v>
      </c>
      <c r="U7">
        <v>150</v>
      </c>
      <c r="W7">
        <v>250</v>
      </c>
      <c r="Y7">
        <v>150</v>
      </c>
      <c r="AA7">
        <v>250</v>
      </c>
    </row>
    <row r="8" spans="1:27" x14ac:dyDescent="0.55000000000000004">
      <c r="A8" t="s">
        <v>52</v>
      </c>
      <c r="B8">
        <v>2455</v>
      </c>
      <c r="D8">
        <v>44000</v>
      </c>
      <c r="F8">
        <v>0.2</v>
      </c>
      <c r="J8">
        <v>225</v>
      </c>
      <c r="L8">
        <v>150</v>
      </c>
      <c r="N8">
        <v>175</v>
      </c>
      <c r="U8">
        <v>175</v>
      </c>
      <c r="W8">
        <v>300</v>
      </c>
      <c r="Y8">
        <v>175</v>
      </c>
      <c r="AA8">
        <v>300</v>
      </c>
    </row>
    <row r="9" spans="1:27" x14ac:dyDescent="0.55000000000000004">
      <c r="A9" t="s">
        <v>53</v>
      </c>
      <c r="B9">
        <v>1537</v>
      </c>
      <c r="D9">
        <v>44500</v>
      </c>
      <c r="F9">
        <v>0.21</v>
      </c>
      <c r="J9">
        <v>250</v>
      </c>
      <c r="L9">
        <v>175</v>
      </c>
      <c r="N9">
        <v>200</v>
      </c>
      <c r="U9">
        <v>200</v>
      </c>
      <c r="W9">
        <v>350</v>
      </c>
      <c r="Y9">
        <v>200</v>
      </c>
      <c r="AA9">
        <v>350</v>
      </c>
    </row>
    <row r="10" spans="1:27" x14ac:dyDescent="0.55000000000000004">
      <c r="A10" t="s">
        <v>54</v>
      </c>
      <c r="B10">
        <v>2235</v>
      </c>
      <c r="D10">
        <v>45000</v>
      </c>
      <c r="F10">
        <v>0.22</v>
      </c>
      <c r="J10">
        <v>275</v>
      </c>
      <c r="L10">
        <v>200</v>
      </c>
      <c r="N10">
        <v>225</v>
      </c>
      <c r="U10">
        <v>225</v>
      </c>
      <c r="W10">
        <v>400</v>
      </c>
      <c r="Y10">
        <v>225</v>
      </c>
      <c r="AA10">
        <v>400</v>
      </c>
    </row>
    <row r="11" spans="1:27" x14ac:dyDescent="0.55000000000000004">
      <c r="A11" t="s">
        <v>55</v>
      </c>
      <c r="B11">
        <v>1400</v>
      </c>
      <c r="D11">
        <v>45500</v>
      </c>
      <c r="F11">
        <v>0.23</v>
      </c>
      <c r="J11">
        <v>300</v>
      </c>
      <c r="L11">
        <v>225</v>
      </c>
      <c r="N11">
        <v>250</v>
      </c>
      <c r="U11">
        <v>250</v>
      </c>
      <c r="W11">
        <v>450</v>
      </c>
      <c r="Y11">
        <v>250</v>
      </c>
      <c r="AA11">
        <v>450</v>
      </c>
    </row>
    <row r="12" spans="1:27" x14ac:dyDescent="0.55000000000000004">
      <c r="A12" t="s">
        <v>56</v>
      </c>
      <c r="B12">
        <v>1568</v>
      </c>
      <c r="D12">
        <v>46000</v>
      </c>
      <c r="F12">
        <v>0.24</v>
      </c>
      <c r="J12">
        <v>325</v>
      </c>
      <c r="L12">
        <v>250</v>
      </c>
      <c r="N12">
        <v>275</v>
      </c>
      <c r="U12">
        <v>275</v>
      </c>
      <c r="W12">
        <v>500</v>
      </c>
      <c r="Y12">
        <v>275</v>
      </c>
      <c r="AA12">
        <v>500</v>
      </c>
    </row>
    <row r="13" spans="1:27" x14ac:dyDescent="0.55000000000000004">
      <c r="A13" t="s">
        <v>57</v>
      </c>
      <c r="B13">
        <v>1668</v>
      </c>
      <c r="D13">
        <v>46500</v>
      </c>
      <c r="F13">
        <v>0.25</v>
      </c>
      <c r="J13">
        <v>350</v>
      </c>
      <c r="L13">
        <v>275</v>
      </c>
      <c r="N13">
        <v>300</v>
      </c>
      <c r="U13">
        <v>300</v>
      </c>
      <c r="W13">
        <v>550</v>
      </c>
      <c r="Y13">
        <v>300</v>
      </c>
      <c r="AA13">
        <v>550</v>
      </c>
    </row>
    <row r="14" spans="1:27" x14ac:dyDescent="0.55000000000000004">
      <c r="A14" t="s">
        <v>58</v>
      </c>
      <c r="B14">
        <v>1112</v>
      </c>
      <c r="D14">
        <v>47000</v>
      </c>
      <c r="F14">
        <v>0.26</v>
      </c>
      <c r="J14">
        <v>375</v>
      </c>
      <c r="L14">
        <v>300</v>
      </c>
      <c r="N14">
        <v>325</v>
      </c>
      <c r="U14">
        <v>325</v>
      </c>
      <c r="W14">
        <v>600</v>
      </c>
      <c r="Y14">
        <v>325</v>
      </c>
      <c r="AA14">
        <v>600</v>
      </c>
    </row>
    <row r="15" spans="1:27" x14ac:dyDescent="0.55000000000000004">
      <c r="A15" t="s">
        <v>59</v>
      </c>
      <c r="B15">
        <v>1840</v>
      </c>
      <c r="D15">
        <v>47500</v>
      </c>
      <c r="F15">
        <v>0.27</v>
      </c>
      <c r="J15">
        <v>400</v>
      </c>
      <c r="L15">
        <v>325</v>
      </c>
      <c r="N15">
        <v>350</v>
      </c>
      <c r="U15">
        <v>350</v>
      </c>
      <c r="W15">
        <v>650</v>
      </c>
      <c r="Y15">
        <v>350</v>
      </c>
      <c r="AA15">
        <v>650</v>
      </c>
    </row>
    <row r="16" spans="1:27" x14ac:dyDescent="0.55000000000000004">
      <c r="A16" t="s">
        <v>60</v>
      </c>
      <c r="B16">
        <v>1063</v>
      </c>
      <c r="D16">
        <v>48000</v>
      </c>
      <c r="F16">
        <v>0.28000000000000003</v>
      </c>
      <c r="J16">
        <v>425</v>
      </c>
      <c r="L16">
        <v>350</v>
      </c>
      <c r="N16">
        <v>375</v>
      </c>
      <c r="U16">
        <v>375</v>
      </c>
      <c r="W16">
        <v>700</v>
      </c>
      <c r="Y16">
        <v>375</v>
      </c>
      <c r="AA16">
        <v>700</v>
      </c>
    </row>
    <row r="17" spans="1:27" x14ac:dyDescent="0.55000000000000004">
      <c r="A17" t="s">
        <v>61</v>
      </c>
      <c r="B17">
        <v>960</v>
      </c>
      <c r="D17">
        <v>48500</v>
      </c>
      <c r="F17">
        <v>0.28999999999999998</v>
      </c>
      <c r="J17">
        <v>450</v>
      </c>
      <c r="L17">
        <v>375</v>
      </c>
      <c r="N17">
        <v>400</v>
      </c>
      <c r="U17">
        <v>400</v>
      </c>
      <c r="W17">
        <v>750</v>
      </c>
      <c r="Y17">
        <v>400</v>
      </c>
      <c r="AA17">
        <v>750</v>
      </c>
    </row>
    <row r="18" spans="1:27" x14ac:dyDescent="0.55000000000000004">
      <c r="A18" t="s">
        <v>62</v>
      </c>
      <c r="B18">
        <v>1150</v>
      </c>
      <c r="D18">
        <v>49000</v>
      </c>
      <c r="F18">
        <v>0.3</v>
      </c>
      <c r="J18">
        <v>475</v>
      </c>
      <c r="L18">
        <v>400</v>
      </c>
      <c r="N18">
        <v>425</v>
      </c>
      <c r="U18">
        <v>425</v>
      </c>
      <c r="W18">
        <v>800</v>
      </c>
      <c r="Y18">
        <v>425</v>
      </c>
      <c r="AA18">
        <v>800</v>
      </c>
    </row>
    <row r="19" spans="1:27" x14ac:dyDescent="0.55000000000000004">
      <c r="A19" t="s">
        <v>63</v>
      </c>
      <c r="B19">
        <v>1080</v>
      </c>
      <c r="D19">
        <v>49500</v>
      </c>
      <c r="J19">
        <v>500</v>
      </c>
      <c r="L19">
        <v>425</v>
      </c>
      <c r="N19">
        <v>450</v>
      </c>
      <c r="U19">
        <v>450</v>
      </c>
      <c r="W19">
        <v>850</v>
      </c>
      <c r="Y19">
        <v>450</v>
      </c>
      <c r="AA19">
        <v>850</v>
      </c>
    </row>
    <row r="20" spans="1:27" x14ac:dyDescent="0.55000000000000004">
      <c r="A20" t="s">
        <v>64</v>
      </c>
      <c r="B20">
        <v>990</v>
      </c>
      <c r="D20">
        <v>50000</v>
      </c>
      <c r="J20">
        <v>525</v>
      </c>
      <c r="L20">
        <v>450</v>
      </c>
      <c r="N20">
        <v>475</v>
      </c>
      <c r="U20">
        <v>475</v>
      </c>
      <c r="W20">
        <v>900</v>
      </c>
      <c r="Y20">
        <v>475</v>
      </c>
      <c r="AA20">
        <v>900</v>
      </c>
    </row>
    <row r="21" spans="1:27" x14ac:dyDescent="0.55000000000000004">
      <c r="A21" t="s">
        <v>65</v>
      </c>
      <c r="B21">
        <v>1372</v>
      </c>
      <c r="D21">
        <v>50500</v>
      </c>
      <c r="J21">
        <v>550</v>
      </c>
      <c r="L21">
        <v>475</v>
      </c>
      <c r="N21">
        <v>500</v>
      </c>
      <c r="U21">
        <v>500</v>
      </c>
      <c r="W21">
        <v>950</v>
      </c>
      <c r="Y21">
        <v>500</v>
      </c>
      <c r="AA21">
        <v>950</v>
      </c>
    </row>
    <row r="22" spans="1:27" x14ac:dyDescent="0.55000000000000004">
      <c r="A22" t="s">
        <v>66</v>
      </c>
      <c r="B22">
        <v>1845</v>
      </c>
      <c r="D22">
        <v>51000</v>
      </c>
      <c r="J22">
        <v>575</v>
      </c>
      <c r="L22">
        <v>500</v>
      </c>
      <c r="N22">
        <v>525</v>
      </c>
      <c r="U22">
        <v>525</v>
      </c>
      <c r="W22">
        <v>1000</v>
      </c>
      <c r="Y22">
        <v>525</v>
      </c>
      <c r="AA22">
        <v>1000</v>
      </c>
    </row>
    <row r="23" spans="1:27" x14ac:dyDescent="0.55000000000000004">
      <c r="A23" t="s">
        <v>67</v>
      </c>
      <c r="B23">
        <v>1336</v>
      </c>
      <c r="D23">
        <v>51500</v>
      </c>
      <c r="J23">
        <v>600</v>
      </c>
      <c r="L23">
        <v>525</v>
      </c>
      <c r="N23">
        <v>550</v>
      </c>
      <c r="U23">
        <v>550</v>
      </c>
      <c r="Y23">
        <v>550</v>
      </c>
    </row>
    <row r="24" spans="1:27" x14ac:dyDescent="0.55000000000000004">
      <c r="A24" t="s">
        <v>68</v>
      </c>
      <c r="B24">
        <v>835</v>
      </c>
      <c r="D24">
        <v>52000</v>
      </c>
      <c r="J24">
        <v>625</v>
      </c>
      <c r="L24">
        <v>550</v>
      </c>
      <c r="N24">
        <v>575</v>
      </c>
      <c r="U24">
        <v>575</v>
      </c>
      <c r="Y24">
        <v>575</v>
      </c>
    </row>
    <row r="25" spans="1:27" x14ac:dyDescent="0.55000000000000004">
      <c r="A25" t="s">
        <v>69</v>
      </c>
      <c r="B25">
        <v>1340</v>
      </c>
      <c r="D25">
        <v>52500</v>
      </c>
      <c r="J25">
        <v>650</v>
      </c>
      <c r="L25">
        <v>575</v>
      </c>
      <c r="N25">
        <v>600</v>
      </c>
      <c r="U25">
        <v>600</v>
      </c>
      <c r="Y25">
        <v>600</v>
      </c>
    </row>
    <row r="26" spans="1:27" x14ac:dyDescent="0.55000000000000004">
      <c r="A26" t="s">
        <v>70</v>
      </c>
      <c r="B26">
        <v>863</v>
      </c>
      <c r="D26">
        <v>53000</v>
      </c>
      <c r="J26">
        <v>675</v>
      </c>
      <c r="L26">
        <v>600</v>
      </c>
      <c r="N26">
        <v>625</v>
      </c>
      <c r="U26">
        <v>625</v>
      </c>
      <c r="Y26">
        <v>625</v>
      </c>
    </row>
    <row r="27" spans="1:27" x14ac:dyDescent="0.55000000000000004">
      <c r="A27" t="s">
        <v>71</v>
      </c>
      <c r="B27">
        <v>998</v>
      </c>
      <c r="D27">
        <v>53500</v>
      </c>
      <c r="J27">
        <v>700</v>
      </c>
      <c r="L27">
        <v>625</v>
      </c>
      <c r="N27">
        <v>650</v>
      </c>
      <c r="U27">
        <v>650</v>
      </c>
      <c r="Y27">
        <v>650</v>
      </c>
    </row>
    <row r="28" spans="1:27" x14ac:dyDescent="0.55000000000000004">
      <c r="A28" t="s">
        <v>72</v>
      </c>
      <c r="B28">
        <v>1200</v>
      </c>
      <c r="D28">
        <v>54000</v>
      </c>
      <c r="J28">
        <v>725</v>
      </c>
      <c r="L28">
        <v>650</v>
      </c>
      <c r="N28">
        <v>675</v>
      </c>
      <c r="U28">
        <v>675</v>
      </c>
      <c r="Y28">
        <v>675</v>
      </c>
    </row>
    <row r="29" spans="1:27" x14ac:dyDescent="0.55000000000000004">
      <c r="A29" t="s">
        <v>73</v>
      </c>
      <c r="B29">
        <v>1018</v>
      </c>
      <c r="D29">
        <v>54500</v>
      </c>
      <c r="J29">
        <v>750</v>
      </c>
      <c r="L29">
        <v>675</v>
      </c>
      <c r="N29">
        <v>700</v>
      </c>
      <c r="U29">
        <v>700</v>
      </c>
      <c r="Y29">
        <v>700</v>
      </c>
    </row>
    <row r="30" spans="1:27" x14ac:dyDescent="0.55000000000000004">
      <c r="A30" t="s">
        <v>74</v>
      </c>
      <c r="B30">
        <v>1270</v>
      </c>
      <c r="D30">
        <v>55000</v>
      </c>
      <c r="J30">
        <v>775</v>
      </c>
      <c r="L30">
        <v>700</v>
      </c>
      <c r="N30">
        <v>725</v>
      </c>
      <c r="U30">
        <v>725</v>
      </c>
      <c r="Y30">
        <v>725</v>
      </c>
    </row>
    <row r="31" spans="1:27" x14ac:dyDescent="0.55000000000000004">
      <c r="A31" t="s">
        <v>75</v>
      </c>
      <c r="B31">
        <v>1680</v>
      </c>
      <c r="D31">
        <v>55500</v>
      </c>
      <c r="J31">
        <v>800</v>
      </c>
      <c r="L31">
        <v>725</v>
      </c>
      <c r="N31">
        <v>750</v>
      </c>
      <c r="U31">
        <v>750</v>
      </c>
      <c r="Y31">
        <v>750</v>
      </c>
    </row>
    <row r="32" spans="1:27" x14ac:dyDescent="0.55000000000000004">
      <c r="A32" t="s">
        <v>76</v>
      </c>
      <c r="B32">
        <v>2000</v>
      </c>
      <c r="D32">
        <v>56000</v>
      </c>
      <c r="L32">
        <v>750</v>
      </c>
      <c r="N32">
        <v>775</v>
      </c>
      <c r="U32">
        <v>775</v>
      </c>
      <c r="Y32">
        <v>775</v>
      </c>
    </row>
    <row r="33" spans="1:25" x14ac:dyDescent="0.55000000000000004">
      <c r="A33" t="s">
        <v>77</v>
      </c>
      <c r="B33">
        <v>1300</v>
      </c>
      <c r="D33">
        <v>56500</v>
      </c>
      <c r="L33">
        <v>775</v>
      </c>
      <c r="N33">
        <v>800</v>
      </c>
      <c r="U33">
        <v>800</v>
      </c>
      <c r="Y33">
        <v>800</v>
      </c>
    </row>
    <row r="34" spans="1:25" x14ac:dyDescent="0.55000000000000004">
      <c r="A34" t="s">
        <v>78</v>
      </c>
      <c r="B34">
        <v>2552</v>
      </c>
      <c r="D34">
        <v>57000</v>
      </c>
      <c r="L34">
        <v>800</v>
      </c>
      <c r="N34">
        <v>825</v>
      </c>
      <c r="U34">
        <v>825</v>
      </c>
      <c r="Y34">
        <v>825</v>
      </c>
    </row>
    <row r="35" spans="1:25" x14ac:dyDescent="0.55000000000000004">
      <c r="A35" t="s">
        <v>79</v>
      </c>
      <c r="B35">
        <v>1103</v>
      </c>
      <c r="D35">
        <v>57500</v>
      </c>
      <c r="L35">
        <v>825</v>
      </c>
      <c r="N35">
        <v>850</v>
      </c>
      <c r="U35">
        <v>850</v>
      </c>
      <c r="Y35">
        <v>850</v>
      </c>
    </row>
    <row r="36" spans="1:25" x14ac:dyDescent="0.55000000000000004">
      <c r="A36" t="s">
        <v>80</v>
      </c>
      <c r="B36">
        <v>868</v>
      </c>
      <c r="D36">
        <v>58000</v>
      </c>
      <c r="L36">
        <v>850</v>
      </c>
      <c r="N36">
        <v>875</v>
      </c>
      <c r="U36">
        <v>875</v>
      </c>
      <c r="Y36">
        <v>875</v>
      </c>
    </row>
    <row r="37" spans="1:25" x14ac:dyDescent="0.55000000000000004">
      <c r="A37" t="s">
        <v>81</v>
      </c>
      <c r="B37">
        <v>1108</v>
      </c>
      <c r="D37">
        <v>58500</v>
      </c>
      <c r="L37">
        <v>875</v>
      </c>
      <c r="N37">
        <v>900</v>
      </c>
      <c r="U37">
        <v>900</v>
      </c>
      <c r="Y37">
        <v>900</v>
      </c>
    </row>
    <row r="38" spans="1:25" x14ac:dyDescent="0.55000000000000004">
      <c r="A38" t="s">
        <v>82</v>
      </c>
      <c r="B38">
        <v>886</v>
      </c>
      <c r="D38">
        <v>59000</v>
      </c>
      <c r="L38">
        <v>900</v>
      </c>
      <c r="N38">
        <v>925</v>
      </c>
      <c r="U38">
        <v>925</v>
      </c>
      <c r="Y38">
        <v>925</v>
      </c>
    </row>
    <row r="39" spans="1:25" x14ac:dyDescent="0.55000000000000004">
      <c r="A39" t="s">
        <v>83</v>
      </c>
      <c r="B39">
        <v>1650</v>
      </c>
      <c r="D39">
        <v>59500</v>
      </c>
      <c r="L39">
        <v>925</v>
      </c>
      <c r="N39">
        <v>950</v>
      </c>
      <c r="U39">
        <v>950</v>
      </c>
      <c r="Y39">
        <v>950</v>
      </c>
    </row>
    <row r="40" spans="1:25" x14ac:dyDescent="0.55000000000000004">
      <c r="A40" t="s">
        <v>84</v>
      </c>
      <c r="B40">
        <v>1692</v>
      </c>
      <c r="D40">
        <v>60000</v>
      </c>
      <c r="L40">
        <v>950</v>
      </c>
      <c r="N40">
        <v>975</v>
      </c>
      <c r="U40">
        <v>975</v>
      </c>
      <c r="Y40">
        <v>975</v>
      </c>
    </row>
    <row r="41" spans="1:25" x14ac:dyDescent="0.55000000000000004">
      <c r="A41" t="s">
        <v>85</v>
      </c>
      <c r="B41">
        <v>1923</v>
      </c>
      <c r="L41">
        <v>975</v>
      </c>
      <c r="N41">
        <v>1000</v>
      </c>
      <c r="U41">
        <v>1000</v>
      </c>
      <c r="Y41">
        <v>1000</v>
      </c>
    </row>
    <row r="42" spans="1:25" x14ac:dyDescent="0.55000000000000004">
      <c r="A42" t="s">
        <v>87</v>
      </c>
      <c r="B42">
        <v>1411</v>
      </c>
      <c r="L42">
        <v>1000</v>
      </c>
    </row>
    <row r="43" spans="1:25" x14ac:dyDescent="0.55000000000000004">
      <c r="A43" t="s">
        <v>86</v>
      </c>
      <c r="B43">
        <v>939</v>
      </c>
    </row>
    <row r="44" spans="1:25" x14ac:dyDescent="0.55000000000000004">
      <c r="A44" t="s">
        <v>88</v>
      </c>
      <c r="B44">
        <v>1647</v>
      </c>
    </row>
    <row r="45" spans="1:25" x14ac:dyDescent="0.55000000000000004">
      <c r="A45" t="s">
        <v>89</v>
      </c>
      <c r="B45">
        <v>1200</v>
      </c>
    </row>
    <row r="46" spans="1:25" x14ac:dyDescent="0.55000000000000004">
      <c r="A46" t="s">
        <v>90</v>
      </c>
      <c r="B46">
        <v>1771</v>
      </c>
    </row>
    <row r="47" spans="1:25" x14ac:dyDescent="0.55000000000000004">
      <c r="A47" t="s">
        <v>91</v>
      </c>
      <c r="B47">
        <v>2173</v>
      </c>
    </row>
    <row r="48" spans="1:25" x14ac:dyDescent="0.55000000000000004">
      <c r="A48" t="s">
        <v>92</v>
      </c>
      <c r="B48">
        <v>1455</v>
      </c>
    </row>
    <row r="49" spans="1:2" x14ac:dyDescent="0.55000000000000004">
      <c r="A49" t="s">
        <v>93</v>
      </c>
      <c r="B49">
        <v>2255</v>
      </c>
    </row>
    <row r="50" spans="1:2" x14ac:dyDescent="0.55000000000000004">
      <c r="A50" t="s">
        <v>99</v>
      </c>
      <c r="B50">
        <v>959</v>
      </c>
    </row>
    <row r="51" spans="1:2" x14ac:dyDescent="0.55000000000000004">
      <c r="A51" t="s">
        <v>94</v>
      </c>
      <c r="B51">
        <v>1250</v>
      </c>
    </row>
    <row r="52" spans="1:2" x14ac:dyDescent="0.55000000000000004">
      <c r="A52" t="s">
        <v>95</v>
      </c>
      <c r="B52">
        <v>608</v>
      </c>
    </row>
    <row r="53" spans="1:2" x14ac:dyDescent="0.55000000000000004">
      <c r="A53" t="s">
        <v>103</v>
      </c>
      <c r="B53">
        <v>800</v>
      </c>
    </row>
    <row r="54" spans="1:2" x14ac:dyDescent="0.55000000000000004">
      <c r="A54" t="s">
        <v>104</v>
      </c>
      <c r="B54">
        <v>850</v>
      </c>
    </row>
    <row r="55" spans="1:2" x14ac:dyDescent="0.55000000000000004">
      <c r="A55" t="s">
        <v>105</v>
      </c>
      <c r="B55">
        <v>900</v>
      </c>
    </row>
    <row r="56" spans="1:2" x14ac:dyDescent="0.55000000000000004">
      <c r="A56" t="s">
        <v>106</v>
      </c>
      <c r="B56">
        <v>950</v>
      </c>
    </row>
    <row r="57" spans="1:2" x14ac:dyDescent="0.55000000000000004">
      <c r="A57" t="s">
        <v>107</v>
      </c>
      <c r="B57">
        <v>1000</v>
      </c>
    </row>
    <row r="58" spans="1:2" x14ac:dyDescent="0.55000000000000004">
      <c r="A58" t="s">
        <v>108</v>
      </c>
      <c r="B58">
        <v>1050</v>
      </c>
    </row>
    <row r="59" spans="1:2" x14ac:dyDescent="0.55000000000000004">
      <c r="A59" t="s">
        <v>109</v>
      </c>
      <c r="B59">
        <v>1100</v>
      </c>
    </row>
    <row r="60" spans="1:2" x14ac:dyDescent="0.55000000000000004">
      <c r="A60" t="s">
        <v>110</v>
      </c>
      <c r="B60">
        <v>1150</v>
      </c>
    </row>
    <row r="61" spans="1:2" x14ac:dyDescent="0.55000000000000004">
      <c r="A61" t="s">
        <v>111</v>
      </c>
      <c r="B61">
        <v>1200</v>
      </c>
    </row>
    <row r="62" spans="1:2" x14ac:dyDescent="0.55000000000000004">
      <c r="A62" t="s">
        <v>112</v>
      </c>
      <c r="B62">
        <v>1250</v>
      </c>
    </row>
    <row r="63" spans="1:2" x14ac:dyDescent="0.55000000000000004">
      <c r="A63" t="s">
        <v>113</v>
      </c>
      <c r="B63">
        <v>1300</v>
      </c>
    </row>
    <row r="64" spans="1:2" x14ac:dyDescent="0.55000000000000004">
      <c r="A64" t="s">
        <v>114</v>
      </c>
      <c r="B64">
        <v>1350</v>
      </c>
    </row>
    <row r="65" spans="1:2" x14ac:dyDescent="0.55000000000000004">
      <c r="A65" t="s">
        <v>115</v>
      </c>
      <c r="B65">
        <v>1400</v>
      </c>
    </row>
    <row r="66" spans="1:2" x14ac:dyDescent="0.55000000000000004">
      <c r="A66" t="s">
        <v>116</v>
      </c>
      <c r="B66">
        <v>1450</v>
      </c>
    </row>
    <row r="67" spans="1:2" x14ac:dyDescent="0.55000000000000004">
      <c r="A67" t="s">
        <v>117</v>
      </c>
      <c r="B67">
        <v>1500</v>
      </c>
    </row>
  </sheetData>
  <phoneticPr fontId="3" type="noConversion"/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C73D-D130-48A8-9B1B-8D506E2C2C84}">
  <dimension ref="A1:E60"/>
  <sheetViews>
    <sheetView workbookViewId="0">
      <selection activeCell="G13" sqref="G13"/>
    </sheetView>
  </sheetViews>
  <sheetFormatPr defaultRowHeight="14.4" x14ac:dyDescent="0.55000000000000004"/>
  <cols>
    <col min="2" max="2" width="12" bestFit="1" customWidth="1"/>
  </cols>
  <sheetData>
    <row r="1" spans="1:5" x14ac:dyDescent="0.55000000000000004">
      <c r="A1" s="11" t="s">
        <v>44</v>
      </c>
      <c r="B1" s="11" t="s">
        <v>45</v>
      </c>
    </row>
    <row r="2" spans="1:5" x14ac:dyDescent="0.55000000000000004">
      <c r="A2" s="11" t="s">
        <v>46</v>
      </c>
      <c r="B2" s="12">
        <v>1400</v>
      </c>
      <c r="E2" s="10"/>
    </row>
    <row r="3" spans="1:5" x14ac:dyDescent="0.55000000000000004">
      <c r="A3" s="11" t="s">
        <v>47</v>
      </c>
      <c r="B3" s="12">
        <v>1264</v>
      </c>
      <c r="E3" s="10"/>
    </row>
    <row r="4" spans="1:5" x14ac:dyDescent="0.55000000000000004">
      <c r="A4" s="11" t="s">
        <v>48</v>
      </c>
      <c r="B4" s="12">
        <v>1312</v>
      </c>
      <c r="E4" s="10"/>
    </row>
    <row r="5" spans="1:5" x14ac:dyDescent="0.55000000000000004">
      <c r="A5" s="11" t="s">
        <v>49</v>
      </c>
      <c r="B5" s="12">
        <v>915</v>
      </c>
      <c r="E5" s="10"/>
    </row>
    <row r="6" spans="1:5" x14ac:dyDescent="0.55000000000000004">
      <c r="A6" s="11" t="s">
        <v>50</v>
      </c>
      <c r="B6" s="12">
        <v>1145</v>
      </c>
      <c r="E6" s="10"/>
    </row>
    <row r="7" spans="1:5" x14ac:dyDescent="0.55000000000000004">
      <c r="A7" s="11" t="s">
        <v>51</v>
      </c>
      <c r="B7" s="12">
        <v>1300</v>
      </c>
      <c r="E7" s="10"/>
    </row>
    <row r="8" spans="1:5" x14ac:dyDescent="0.55000000000000004">
      <c r="A8" s="11" t="s">
        <v>52</v>
      </c>
      <c r="B8" s="12">
        <v>2455</v>
      </c>
      <c r="E8" s="10"/>
    </row>
    <row r="9" spans="1:5" x14ac:dyDescent="0.55000000000000004">
      <c r="A9" s="11" t="s">
        <v>53</v>
      </c>
      <c r="B9" s="12">
        <v>1537</v>
      </c>
      <c r="E9" s="10"/>
    </row>
    <row r="10" spans="1:5" x14ac:dyDescent="0.55000000000000004">
      <c r="A10" s="11" t="s">
        <v>54</v>
      </c>
      <c r="B10" s="12">
        <v>2235</v>
      </c>
      <c r="E10" s="10"/>
    </row>
    <row r="11" spans="1:5" x14ac:dyDescent="0.55000000000000004">
      <c r="A11" s="11" t="s">
        <v>55</v>
      </c>
      <c r="B11" s="12">
        <v>1400</v>
      </c>
      <c r="E11" s="10"/>
    </row>
    <row r="12" spans="1:5" x14ac:dyDescent="0.55000000000000004">
      <c r="A12" s="11" t="s">
        <v>56</v>
      </c>
      <c r="B12" s="12">
        <v>1568</v>
      </c>
      <c r="E12" s="10"/>
    </row>
    <row r="13" spans="1:5" x14ac:dyDescent="0.55000000000000004">
      <c r="A13" s="11" t="s">
        <v>57</v>
      </c>
      <c r="B13" s="12">
        <v>1668</v>
      </c>
      <c r="E13" s="10"/>
    </row>
    <row r="14" spans="1:5" x14ac:dyDescent="0.55000000000000004">
      <c r="A14" s="11" t="s">
        <v>58</v>
      </c>
      <c r="B14" s="12">
        <v>1112</v>
      </c>
      <c r="E14" s="10"/>
    </row>
    <row r="15" spans="1:5" x14ac:dyDescent="0.55000000000000004">
      <c r="A15" s="11" t="s">
        <v>59</v>
      </c>
      <c r="B15" s="12">
        <v>1840</v>
      </c>
      <c r="E15" s="10"/>
    </row>
    <row r="16" spans="1:5" x14ac:dyDescent="0.55000000000000004">
      <c r="A16" s="11" t="s">
        <v>60</v>
      </c>
      <c r="B16" s="12">
        <v>1063</v>
      </c>
      <c r="E16" s="10"/>
    </row>
    <row r="17" spans="1:5" x14ac:dyDescent="0.55000000000000004">
      <c r="A17" s="11" t="s">
        <v>61</v>
      </c>
      <c r="B17" s="12">
        <v>960</v>
      </c>
      <c r="E17" s="10"/>
    </row>
    <row r="18" spans="1:5" x14ac:dyDescent="0.55000000000000004">
      <c r="A18" s="11" t="s">
        <v>62</v>
      </c>
      <c r="B18" s="12">
        <v>1150</v>
      </c>
      <c r="E18" s="10"/>
    </row>
    <row r="19" spans="1:5" x14ac:dyDescent="0.55000000000000004">
      <c r="A19" s="11" t="s">
        <v>63</v>
      </c>
      <c r="B19" s="12">
        <v>1080</v>
      </c>
      <c r="E19" s="10"/>
    </row>
    <row r="20" spans="1:5" x14ac:dyDescent="0.55000000000000004">
      <c r="A20" s="11" t="s">
        <v>64</v>
      </c>
      <c r="B20" s="12">
        <v>990</v>
      </c>
      <c r="E20" s="10"/>
    </row>
    <row r="21" spans="1:5" x14ac:dyDescent="0.55000000000000004">
      <c r="A21" s="11" t="s">
        <v>65</v>
      </c>
      <c r="B21" s="12">
        <v>1372</v>
      </c>
      <c r="E21" s="10"/>
    </row>
    <row r="22" spans="1:5" x14ac:dyDescent="0.55000000000000004">
      <c r="A22" s="11" t="s">
        <v>66</v>
      </c>
      <c r="B22" s="12">
        <v>1845</v>
      </c>
      <c r="E22" s="10"/>
    </row>
    <row r="23" spans="1:5" x14ac:dyDescent="0.55000000000000004">
      <c r="A23" s="11" t="s">
        <v>67</v>
      </c>
      <c r="B23" s="12">
        <v>1336</v>
      </c>
      <c r="E23" s="10"/>
    </row>
    <row r="24" spans="1:5" x14ac:dyDescent="0.55000000000000004">
      <c r="A24" s="11" t="s">
        <v>68</v>
      </c>
      <c r="B24" s="12">
        <v>835</v>
      </c>
      <c r="E24" s="10"/>
    </row>
    <row r="25" spans="1:5" x14ac:dyDescent="0.55000000000000004">
      <c r="A25" s="11" t="s">
        <v>69</v>
      </c>
      <c r="B25" s="12">
        <v>1340</v>
      </c>
      <c r="E25" s="10"/>
    </row>
    <row r="26" spans="1:5" x14ac:dyDescent="0.55000000000000004">
      <c r="A26" s="11" t="s">
        <v>70</v>
      </c>
      <c r="B26" s="12">
        <v>863</v>
      </c>
      <c r="E26" s="10"/>
    </row>
    <row r="27" spans="1:5" x14ac:dyDescent="0.55000000000000004">
      <c r="A27" s="11" t="s">
        <v>71</v>
      </c>
      <c r="B27" s="12">
        <v>998</v>
      </c>
      <c r="E27" s="10"/>
    </row>
    <row r="28" spans="1:5" x14ac:dyDescent="0.55000000000000004">
      <c r="A28" s="11" t="s">
        <v>72</v>
      </c>
      <c r="B28" s="12">
        <v>1200</v>
      </c>
      <c r="E28" s="10"/>
    </row>
    <row r="29" spans="1:5" x14ac:dyDescent="0.55000000000000004">
      <c r="A29" s="11" t="s">
        <v>73</v>
      </c>
      <c r="B29" s="12">
        <v>1018</v>
      </c>
      <c r="E29" s="10"/>
    </row>
    <row r="30" spans="1:5" x14ac:dyDescent="0.55000000000000004">
      <c r="A30" s="11" t="s">
        <v>74</v>
      </c>
      <c r="B30" s="12">
        <v>1270</v>
      </c>
      <c r="E30" s="10"/>
    </row>
    <row r="31" spans="1:5" x14ac:dyDescent="0.55000000000000004">
      <c r="A31" s="11" t="s">
        <v>75</v>
      </c>
      <c r="B31" s="12">
        <v>1680</v>
      </c>
      <c r="E31" s="10"/>
    </row>
    <row r="32" spans="1:5" x14ac:dyDescent="0.55000000000000004">
      <c r="A32" s="11" t="s">
        <v>76</v>
      </c>
      <c r="B32" s="12">
        <v>2000</v>
      </c>
      <c r="E32" s="10"/>
    </row>
    <row r="33" spans="1:5" x14ac:dyDescent="0.55000000000000004">
      <c r="A33" s="11" t="s">
        <v>77</v>
      </c>
      <c r="B33" s="12">
        <v>1300</v>
      </c>
      <c r="E33" s="10"/>
    </row>
    <row r="34" spans="1:5" x14ac:dyDescent="0.55000000000000004">
      <c r="A34" s="11" t="s">
        <v>78</v>
      </c>
      <c r="B34" s="12">
        <v>2552</v>
      </c>
      <c r="E34" s="10"/>
    </row>
    <row r="35" spans="1:5" x14ac:dyDescent="0.55000000000000004">
      <c r="A35" s="11" t="s">
        <v>79</v>
      </c>
      <c r="B35" s="12">
        <v>1103</v>
      </c>
      <c r="E35" s="10"/>
    </row>
    <row r="36" spans="1:5" x14ac:dyDescent="0.55000000000000004">
      <c r="A36" s="11" t="s">
        <v>80</v>
      </c>
      <c r="B36" s="12">
        <v>868</v>
      </c>
      <c r="E36" s="10"/>
    </row>
    <row r="37" spans="1:5" x14ac:dyDescent="0.55000000000000004">
      <c r="A37" s="11" t="s">
        <v>81</v>
      </c>
      <c r="B37" s="12">
        <v>1108</v>
      </c>
      <c r="E37" s="10"/>
    </row>
    <row r="38" spans="1:5" x14ac:dyDescent="0.55000000000000004">
      <c r="A38" s="11" t="s">
        <v>82</v>
      </c>
      <c r="B38" s="12">
        <v>886</v>
      </c>
      <c r="E38" s="10"/>
    </row>
    <row r="39" spans="1:5" x14ac:dyDescent="0.55000000000000004">
      <c r="A39" s="11" t="s">
        <v>83</v>
      </c>
      <c r="B39" s="12">
        <v>1650</v>
      </c>
      <c r="E39" s="10"/>
    </row>
    <row r="40" spans="1:5" x14ac:dyDescent="0.55000000000000004">
      <c r="A40" s="11" t="s">
        <v>84</v>
      </c>
      <c r="B40" s="12">
        <v>1692</v>
      </c>
      <c r="E40" s="10"/>
    </row>
    <row r="41" spans="1:5" x14ac:dyDescent="0.55000000000000004">
      <c r="A41" s="11" t="s">
        <v>85</v>
      </c>
      <c r="B41" s="12">
        <v>1923</v>
      </c>
      <c r="E41" s="10"/>
    </row>
    <row r="42" spans="1:5" x14ac:dyDescent="0.55000000000000004">
      <c r="A42" s="11" t="s">
        <v>87</v>
      </c>
      <c r="B42" s="12">
        <v>1411</v>
      </c>
      <c r="E42" s="10"/>
    </row>
    <row r="43" spans="1:5" x14ac:dyDescent="0.55000000000000004">
      <c r="A43" s="11" t="s">
        <v>86</v>
      </c>
      <c r="B43" s="12">
        <v>939</v>
      </c>
      <c r="E43" s="10"/>
    </row>
    <row r="44" spans="1:5" x14ac:dyDescent="0.55000000000000004">
      <c r="A44" s="11" t="s">
        <v>88</v>
      </c>
      <c r="B44" s="12">
        <v>1647</v>
      </c>
      <c r="E44" s="10"/>
    </row>
    <row r="45" spans="1:5" x14ac:dyDescent="0.55000000000000004">
      <c r="A45" s="11" t="s">
        <v>89</v>
      </c>
      <c r="B45" s="12">
        <v>1200</v>
      </c>
      <c r="E45" s="10"/>
    </row>
    <row r="46" spans="1:5" x14ac:dyDescent="0.55000000000000004">
      <c r="A46" s="11" t="s">
        <v>90</v>
      </c>
      <c r="B46" s="12">
        <v>1771</v>
      </c>
      <c r="E46" s="10"/>
    </row>
    <row r="47" spans="1:5" x14ac:dyDescent="0.55000000000000004">
      <c r="A47" s="11" t="s">
        <v>91</v>
      </c>
      <c r="B47" s="12">
        <v>2173</v>
      </c>
    </row>
    <row r="48" spans="1:5" x14ac:dyDescent="0.55000000000000004">
      <c r="A48" s="11" t="s">
        <v>92</v>
      </c>
      <c r="B48" s="12">
        <v>1455</v>
      </c>
    </row>
    <row r="49" spans="1:2" x14ac:dyDescent="0.55000000000000004">
      <c r="A49" s="11" t="s">
        <v>93</v>
      </c>
      <c r="B49" s="12">
        <v>2255</v>
      </c>
    </row>
    <row r="50" spans="1:2" x14ac:dyDescent="0.55000000000000004">
      <c r="A50" s="11" t="s">
        <v>99</v>
      </c>
      <c r="B50" s="12">
        <v>959</v>
      </c>
    </row>
    <row r="51" spans="1:2" x14ac:dyDescent="0.55000000000000004">
      <c r="A51" s="11" t="s">
        <v>94</v>
      </c>
      <c r="B51" s="12">
        <v>1250</v>
      </c>
    </row>
    <row r="52" spans="1:2" x14ac:dyDescent="0.55000000000000004">
      <c r="A52" s="11" t="s">
        <v>95</v>
      </c>
      <c r="B52" s="12">
        <v>608</v>
      </c>
    </row>
    <row r="54" spans="1:2" x14ac:dyDescent="0.55000000000000004">
      <c r="A54" s="11" t="s">
        <v>96</v>
      </c>
    </row>
    <row r="55" spans="1:2" x14ac:dyDescent="0.55000000000000004">
      <c r="A55" s="13" t="s">
        <v>97</v>
      </c>
    </row>
    <row r="56" spans="1:2" x14ac:dyDescent="0.55000000000000004">
      <c r="A56" s="11" t="s">
        <v>98</v>
      </c>
    </row>
    <row r="57" spans="1:2" x14ac:dyDescent="0.55000000000000004">
      <c r="A57" s="14">
        <v>46054</v>
      </c>
    </row>
    <row r="58" spans="1:2" x14ac:dyDescent="0.55000000000000004">
      <c r="A58" t="s">
        <v>100</v>
      </c>
    </row>
    <row r="59" spans="1:2" x14ac:dyDescent="0.55000000000000004">
      <c r="A59" t="s">
        <v>101</v>
      </c>
    </row>
    <row r="60" spans="1:2" x14ac:dyDescent="0.55000000000000004">
      <c r="A60" s="15">
        <v>46082</v>
      </c>
    </row>
  </sheetData>
  <sortState xmlns:xlrd2="http://schemas.microsoft.com/office/spreadsheetml/2017/richdata2" ref="A2:B52">
    <sortCondition ref="A2:A52"/>
  </sortState>
  <hyperlinks>
    <hyperlink ref="A55" r:id="rId1" location="Summary" display="https://www.unbiased.com/discover/banking/average-1-bedroom-apartment-rent - Summary" xr:uid="{40B2E52A-8030-41B4-A5E2-9877F5AAA8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prepdash</vt:lpstr>
      <vt:lpstr>lists</vt:lpstr>
      <vt:lpstr>state_avg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DAVIS</dc:creator>
  <cp:lastModifiedBy>MATTHEW DAVIS</cp:lastModifiedBy>
  <dcterms:created xsi:type="dcterms:W3CDTF">2026-03-01T18:07:56Z</dcterms:created>
  <dcterms:modified xsi:type="dcterms:W3CDTF">2026-03-04T09:41:19Z</dcterms:modified>
</cp:coreProperties>
</file>